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ded836c524c10c/Desktop/Git Repository/"/>
    </mc:Choice>
  </mc:AlternateContent>
  <xr:revisionPtr revIDLastSave="187" documentId="8_{542A74E5-33F3-4C5A-BA46-712420CFE68C}" xr6:coauthVersionLast="47" xr6:coauthVersionMax="47" xr10:uidLastSave="{6B9B4F9F-7AF0-4F18-8BC6-8C3B23EED918}"/>
  <bookViews>
    <workbookView xWindow="28680" yWindow="-120" windowWidth="29040" windowHeight="15720" activeTab="2" xr2:uid="{311438C0-A5CA-4B89-8633-6D07ACB92CA2}"/>
  </bookViews>
  <sheets>
    <sheet name="Raw sample SKU Data" sheetId="1" r:id="rId1"/>
    <sheet name="SKU Prep" sheetId="2" r:id="rId2"/>
    <sheet name="SKU Prep2 " sheetId="3" r:id="rId3"/>
    <sheet name="Estee Lauder France" sheetId="4" r:id="rId4"/>
    <sheet name="Summary .fr Perfumes" sheetId="5" r:id="rId5"/>
  </sheets>
  <definedNames>
    <definedName name="ExternalData_1" localSheetId="3" hidden="1">'Estee Lauder France'!$A$1:$H$75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J2" i="3" s="1"/>
  <c r="M6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I38" i="4"/>
  <c r="I37" i="4"/>
  <c r="I36" i="4"/>
  <c r="I26" i="4"/>
  <c r="I27" i="4"/>
  <c r="I28" i="4"/>
  <c r="I29" i="4"/>
  <c r="I30" i="4"/>
  <c r="I31" i="4"/>
  <c r="I32" i="4"/>
  <c r="I33" i="4"/>
  <c r="I34" i="4"/>
  <c r="I35" i="4"/>
  <c r="I25" i="4"/>
  <c r="I24" i="4"/>
  <c r="I17" i="4"/>
  <c r="I18" i="4"/>
  <c r="I19" i="4"/>
  <c r="I20" i="4"/>
  <c r="I21" i="4"/>
  <c r="I22" i="4"/>
  <c r="I23" i="4"/>
  <c r="I15" i="4"/>
  <c r="I16" i="4"/>
  <c r="I13" i="4"/>
  <c r="I14" i="4"/>
  <c r="I12" i="4"/>
  <c r="I11" i="4"/>
  <c r="I10" i="4"/>
  <c r="I9" i="4"/>
  <c r="I8" i="4"/>
  <c r="I73" i="4"/>
  <c r="I7" i="4"/>
  <c r="I70" i="4"/>
  <c r="I71" i="4"/>
  <c r="I72" i="4"/>
  <c r="I2" i="4"/>
  <c r="H6" i="5" s="1"/>
  <c r="I3" i="4"/>
  <c r="I4" i="4"/>
  <c r="I5" i="4"/>
  <c r="I6" i="4"/>
  <c r="I65" i="4"/>
  <c r="I66" i="4"/>
  <c r="I67" i="4"/>
  <c r="I68" i="4"/>
  <c r="I69" i="4"/>
  <c r="I63" i="4"/>
  <c r="I64" i="4"/>
  <c r="I61" i="4"/>
  <c r="I62" i="4"/>
  <c r="I60" i="4"/>
  <c r="I59" i="4"/>
  <c r="I58" i="4"/>
  <c r="I57" i="4"/>
  <c r="I56" i="4"/>
  <c r="I55" i="4"/>
  <c r="I51" i="4"/>
  <c r="I52" i="4"/>
  <c r="I53" i="4"/>
  <c r="I54" i="4"/>
  <c r="I49" i="4"/>
  <c r="I50" i="4"/>
  <c r="I48" i="4"/>
  <c r="I47" i="4"/>
  <c r="I46" i="4"/>
  <c r="I45" i="4"/>
  <c r="I44" i="4"/>
  <c r="I43" i="4"/>
  <c r="I42" i="4"/>
  <c r="I39" i="4"/>
  <c r="I40" i="4"/>
  <c r="I41" i="4"/>
  <c r="I74" i="4"/>
  <c r="I75" i="4"/>
  <c r="C7" i="5" a="1"/>
  <c r="C7" i="5" s="1"/>
  <c r="D7" i="5" s="1"/>
  <c r="I4" i="3"/>
  <c r="J4" i="3" s="1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I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D27" i="5" l="1"/>
  <c r="D26" i="5"/>
  <c r="D42" i="5"/>
  <c r="D40" i="5"/>
  <c r="D39" i="5"/>
  <c r="D14" i="5"/>
  <c r="D31" i="5"/>
  <c r="D55" i="5"/>
  <c r="D29" i="5"/>
  <c r="D19" i="5"/>
  <c r="D53" i="5"/>
  <c r="D18" i="5"/>
  <c r="D76" i="5"/>
  <c r="D41" i="5"/>
  <c r="D64" i="5"/>
  <c r="D30" i="5"/>
  <c r="D54" i="5"/>
  <c r="D79" i="5"/>
  <c r="D52" i="5"/>
  <c r="D17" i="5"/>
  <c r="D67" i="5"/>
  <c r="D65" i="5"/>
  <c r="D66" i="5"/>
  <c r="D50" i="5"/>
  <c r="D63" i="5"/>
  <c r="D78" i="5"/>
  <c r="D51" i="5"/>
  <c r="D16" i="5"/>
  <c r="D75" i="5"/>
  <c r="D28" i="5"/>
  <c r="D77" i="5"/>
  <c r="D43" i="5"/>
  <c r="D15" i="5"/>
  <c r="D74" i="5"/>
  <c r="D62" i="5"/>
  <c r="D38" i="5"/>
  <c r="D37" i="5"/>
  <c r="D25" i="5"/>
  <c r="D13" i="5"/>
  <c r="D72" i="5"/>
  <c r="D60" i="5"/>
  <c r="D48" i="5"/>
  <c r="D36" i="5"/>
  <c r="D24" i="5"/>
  <c r="D12" i="5"/>
  <c r="D71" i="5"/>
  <c r="D59" i="5"/>
  <c r="D47" i="5"/>
  <c r="D35" i="5"/>
  <c r="D23" i="5"/>
  <c r="D11" i="5"/>
  <c r="D61" i="5"/>
  <c r="D73" i="5"/>
  <c r="D49" i="5"/>
  <c r="D70" i="5"/>
  <c r="D58" i="5"/>
  <c r="D46" i="5"/>
  <c r="D34" i="5"/>
  <c r="D22" i="5"/>
  <c r="D10" i="5"/>
  <c r="D69" i="5"/>
  <c r="D57" i="5"/>
  <c r="D45" i="5"/>
  <c r="D33" i="5"/>
  <c r="D21" i="5"/>
  <c r="D9" i="5"/>
  <c r="D80" i="5"/>
  <c r="D68" i="5"/>
  <c r="D56" i="5"/>
  <c r="D44" i="5"/>
  <c r="D32" i="5"/>
  <c r="D20" i="5"/>
  <c r="D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tc={4D6C826E-0C7F-483F-850C-F1335741274A}</author>
    <author>tc={9DB7BE6C-4DCB-46DD-96CA-CB8D13211F99}</author>
    <author>tc={A12B43CB-5496-47F7-A6B8-F00CDEBE989E}</author>
  </authors>
  <commentList>
    <comment ref="F2" authorId="0" shapeId="0" xr:uid="{4D6C826E-0C7F-483F-850C-F133574127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Checking SKU lengths throught LEN() formula
=len(SKU)
I can see that all SKUs are 6 digits and data seems clean as this is a customer facing end product website.
</t>
      </text>
    </comment>
    <comment ref="G2" authorId="1" shapeId="0" xr:uid="{9DB7BE6C-4DCB-46DD-96CA-CB8D1321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I can see that there is a pattern with SKUs. They all end with 01 although the beginning digit/letter combinations are different.
However, there are exceptions which are flagged through if condition
=IF(RIGHT([@SKU],2) = "01", 1, 0)
This probably doesn't mean they are incorrect, but these SKUs are the minority cases|
These cases are flagged with 0 and to higlight them, I applied conditional formatting.</t>
      </text>
    </comment>
    <comment ref="H2" authorId="2" shapeId="0" xr:uid="{A12B43CB-5496-47F7-A6B8-F00CDEBE98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Web scraping carried over some rows from review display section which resulted in duplicate SKUs
I found them through combination of ISNUMBER(SEARCH())
Which detects patterns in strings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tc={C7D8F4B8-2747-4097-8C5F-5F8182465BC5}</author>
  </authors>
  <commentList>
    <comment ref="B2" authorId="0" shapeId="0" xr:uid="{C7D8F4B8-2747-4097-8C5F-5F8182465BC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Intentionally created incomplete SKUs to fix them later on in Column I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5D264-2DE6-4011-A6DF-C142DE49E4D7}" keepAlive="1" name="Query - Estee Lauder France" description="Connection to the 'Estee Lauder France' query in the workbook." type="5" refreshedVersion="8" background="1" saveData="1">
    <dbPr connection="Provider=Microsoft.Mashup.OleDb.1;Data Source=$Workbook$;Location=&quot;Estee Lauder France&quot;;Extended Properties=&quot;&quot;" command="SELECT * FROM [Estee Lauder Fr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<sst xmlns="http://schemas.openxmlformats.org/spreadsheetml/2006/main" count="1352" uniqueCount="365">
  <si>
    <t>Name</t>
  </si>
  <si>
    <t>SKU</t>
  </si>
  <si>
    <t>Variants/Colors</t>
  </si>
  <si>
    <t>Description</t>
  </si>
  <si>
    <t>URL</t>
  </si>
  <si>
    <t>Advanced Night RepairEye Lift + Sculpt Eye Cream</t>
  </si>
  <si>
    <t>G6DH01</t>
  </si>
  <si>
    <t>N/A</t>
  </si>
  <si>
    <t>https://www.esteelauder.com/product/685/137613/product-catalog/skincare/eye-cream-treatment/advanced-night-repair/eye-lift-sculpt-eye-cream</t>
  </si>
  <si>
    <t>Double WearStay-in-Place Matte Powder Foundation</t>
  </si>
  <si>
    <t>G3FJCT</t>
  </si>
  <si>
    <t>https://www.esteelauder.com/product/643/133642/product-catalog/makeup/face/foundation/double-wear/stay-in-place-matte-powder-foundation</t>
  </si>
  <si>
    <t>Advanced Night Repair SerumSynchronized Multi-Recovery Complex</t>
  </si>
  <si>
    <t>PG5001</t>
  </si>
  <si>
    <t>https://www.esteelauder.com/product/689/77491/product-catalog/skincare/repair-serum/advanced-night-repair-serum/synchronized-multi-recovery-complex</t>
  </si>
  <si>
    <t>Double WearStay-in-Place Foundation</t>
  </si>
  <si>
    <t>YA6F66</t>
  </si>
  <si>
    <t>https://www.esteelauder.com/product/643/22830/product-catalog/makeup/face/foundation/double-wear/stay-in-place-foundation</t>
  </si>
  <si>
    <t>Re-NutrivUltimate Diamond Age Reversal Treatment Lotion Toner</t>
  </si>
  <si>
    <t>G1DW01</t>
  </si>
  <si>
    <t>https://www.esteelauder.com/product/680/129602/product-catalog/re-nutriv/re-nutriv-treatment-lotion/re-nutriv-ultimate-diamond-age-reversal-lotion/ultimate-diamond-age-reversal-treatment-lotion-toner</t>
  </si>
  <si>
    <t>AERIN WisteriaEau de Parfum Spray</t>
  </si>
  <si>
    <t>G8MF01</t>
  </si>
  <si>
    <t>https://www.esteelauder.com/product/55571/137614/product-catalog/aerin/aerin-les-jardins-botaniques-collection/wisteria/aerin-wisteria/eau-de-parfum-spray?size=1.7_oz.</t>
  </si>
  <si>
    <t>Nutritious2-in-1 Foam Cleanser/Purifying Mask</t>
  </si>
  <si>
    <t>GTJX01</t>
  </si>
  <si>
    <t>https://www.esteelauder.com/product/684/112204/product-catalog/skincare/cleanser-makeup-remover/nutritious/2-in-1-foam-cleanserpurifying-mask</t>
  </si>
  <si>
    <t>https://www.esteelauder.com/product/684/112204/product-catalog/skincare/cleanser-makeup-remover/nutritious/2-in-1-foam-cleanserpurifying-mask#pr-reviewdisplay</t>
  </si>
  <si>
    <t>Limited Edition Pink Ribbon Advanced Night Repair Serum</t>
  </si>
  <si>
    <t>G37B01</t>
  </si>
  <si>
    <t>https://www.esteelauder.com/product/689/128330/product-catalog/skincare/repair-serum/limited-edition-pink-ribbon-advanced-night-repair-serum</t>
  </si>
  <si>
    <t>https://www.esteelauder.com/product/689/128330/product-catalog/skincare/repair-serum/limited-edition-pink-ribbon-advanced-night-repair-serum#pr-reviewdisplay</t>
  </si>
  <si>
    <t>NutritiousBooster Drops Serum</t>
  </si>
  <si>
    <t>G5TE01</t>
  </si>
  <si>
    <t>https://www.esteelauder.com/product/689/123010/product-catalog/skincare/repair-serum/nutritious/booster-drops-serum</t>
  </si>
  <si>
    <t>https://www.esteelauder.com/product/689/123010/product-catalog/skincare/repair-serum/nutritious/booster-drops-serum#pr-reviewdisplay</t>
  </si>
  <si>
    <t>Perfectionist ProRapid Firm + Lift Serum with Hexapeptides 8 + 9</t>
  </si>
  <si>
    <t>PTGK01</t>
  </si>
  <si>
    <t>https://www.esteelauder.com/product/689/117243/product-catalog/skincare/repair-serum/perfectionist-pro/rapid-firm-lift-serum-with-hexapeptides-8-9</t>
  </si>
  <si>
    <t>https://www.esteelauder.com/product/689/117243/product-catalog/skincare/repair-serum/perfectionist-pro/rapid-firm-lift-serum-with-hexapeptides-8-9#pr-reviewdisplay</t>
  </si>
  <si>
    <t>Perfectionist Pro DuoRapid Firm + Lift Serum with Hexapeptides 8 + 9</t>
  </si>
  <si>
    <t>PTGL01</t>
  </si>
  <si>
    <t>https://www.esteelauder.com/product/689/117245/product-catalog/skincare/repair-serum/perfectionist-pro-duo/rapid-firm-lift-serum-with-hexapeptides-8-9</t>
  </si>
  <si>
    <t>https://www.esteelauder.com/product/689/117245/product-catalog/skincare/repair-serum/perfectionist-pro-duo/rapid-firm-lift-serum-with-hexapeptides-8-9#pr-reviewdisplay</t>
  </si>
  <si>
    <t>NutritiousAiry Lotion Moisturizer</t>
  </si>
  <si>
    <t>GTJY01</t>
  </si>
  <si>
    <t>https://www.esteelauder.com/product/688/112201/product-catalog/skincare/moisturizer/nutritious/airy-lotion-moisturizer</t>
  </si>
  <si>
    <t>https://www.esteelauder.com/product/688/112201/product-catalog/skincare/moisturizer/nutritious/airy-lotion-moisturizer#pr-reviewdisplay</t>
  </si>
  <si>
    <t>NutritiousRadiant Essence Treatment Lotion</t>
  </si>
  <si>
    <t>GTK101</t>
  </si>
  <si>
    <t>https://www.esteelauder.com/product/26389/112200/product-catalog/skincare/toner-treatment-lotion/nutritious/radiant-essence-treatment-lotion</t>
  </si>
  <si>
    <t>https://www.esteelauder.com/product/26389/112200/product-catalog/skincare/toner-treatment-lotion/nutritious/radiant-essence-treatment-lotion#pr-reviewdisplay</t>
  </si>
  <si>
    <t>NutritiousMelting Soft Creme/Mask Moisturizer</t>
  </si>
  <si>
    <t>GTK001</t>
  </si>
  <si>
    <t>https://www.esteelauder.com/product/688/112202/product-catalog/skincare/moisturizer/nutritious/melting-soft-crememask-moisturizer</t>
  </si>
  <si>
    <t>https://www.esteelauder.com/product/688/112202/product-catalog/skincare/moisturizer/nutritious/melting-soft-crememask-moisturizer#pr-reviewdisplay</t>
  </si>
  <si>
    <t>Micro EssenceTreatment Lotion Toner with Bio-Ferment</t>
  </si>
  <si>
    <t>PGJJ01</t>
  </si>
  <si>
    <t>https://www.esteelauder.com/product/26389/101853/product-catalog/skincare/toner-treatment-lotion/micro-essence/treatment-lotion-toner-with-bio-ferment</t>
  </si>
  <si>
    <t>https://www.esteelauder.com/product/26389/101853/product-catalog/skincare/toner-treatment-lotion/micro-essence/treatment-lotion-toner-with-bio-ferment#pr-reviewdisplay</t>
  </si>
  <si>
    <t>Micro EssenceTreatment Lotion Toner Fresh with Sakura Ferment</t>
  </si>
  <si>
    <t>PR2W01</t>
  </si>
  <si>
    <t>https://www.esteelauder.com/product/26389/101854/product-catalog/skincare/toner-treatment-lotion/micro-essence/treatment-lotion-toner-fresh-with-sakura-ferment</t>
  </si>
  <si>
    <t>https://www.esteelauder.com/product/26389/101854/product-catalog/skincare/toner-treatment-lotion/micro-essence/treatment-lotion-toner-fresh-with-sakura-ferment#pr-reviewdisplay</t>
  </si>
  <si>
    <t>https://www.esteelauder.com/product/689/77491/product-catalog/skincare/repair-serum/advanced-night-repair-serum/synchronized-multi-recovery-complex#pr-reviewdisplay</t>
  </si>
  <si>
    <t>Advanced Night Repair Serum DuoSynchronized Multi-Recovery Complex</t>
  </si>
  <si>
    <t>PG5C01</t>
  </si>
  <si>
    <t>https://www.esteelauder.com/product/689/77500/product-catalog/skincare/repair-serum/advanced-night-repair-serum-duo/synchronized-multi-recovery-complex</t>
  </si>
  <si>
    <t>https://www.esteelauder.com/product/689/77500/product-catalog/skincare/repair-serum/advanced-night-repair-serum-duo/synchronized-multi-recovery-complex#pr-reviewdisplay</t>
  </si>
  <si>
    <t>Revitalizing Supreme+Youth Power Soft Milky Lotion Moisturizer</t>
  </si>
  <si>
    <t>PYNF01</t>
  </si>
  <si>
    <t>https://www.esteelauder.com/product/688/105514/product-catalog/skincare/moisturizer/revitalizing-supreme/youth-power-soft-milky-lotion-moisturizer</t>
  </si>
  <si>
    <t>https://www.esteelauder.com/product/688/105514/product-catalog/skincare/moisturizer/revitalizing-supreme/youth-power-soft-milky-lotion-moisturizer#pr-reviewdisplay</t>
  </si>
  <si>
    <t>NightWear Plus MoisturizerAnti-Oxidant Night Detox Creme</t>
  </si>
  <si>
    <t>R3NX01</t>
  </si>
  <si>
    <t>https://www.esteelauder.com/product/688/37349/product-catalog/skincare/moisturizer/nightwear-plus-moisturizer/anti-oxidant-night-detox-creme</t>
  </si>
  <si>
    <t>https://www.esteelauder.com/product/688/37349/product-catalog/skincare/moisturizer/nightwear-plus-moisturizer/anti-oxidant-night-detox-creme#pr-reviewdisplay</t>
  </si>
  <si>
    <t>DayWear MatteOil-Control Anti-Oxidant Moisture Gel Creme Moisturizer</t>
  </si>
  <si>
    <t>RLJP01</t>
  </si>
  <si>
    <t>https://www.esteelauder.com/product/688/46486/product-catalog/skincare/moisturizer/daywear-matte/oil-control-anti-oxidant-moisture-gel-creme-moisturizer</t>
  </si>
  <si>
    <t>https://www.esteelauder.com/product/688/46486/product-catalog/skincare/moisturizer/daywear-matte/oil-control-anti-oxidant-moisture-gel-creme-moisturizer#pr-reviewdisplay</t>
  </si>
  <si>
    <t>Perfectly CleanMulti-Action Foam Cleanser/Purifying Mask</t>
  </si>
  <si>
    <t>YCE701</t>
  </si>
  <si>
    <t>https://www.esteelauder.com/product/684/25713/product-catalog/skincare/cleanser-makeup-remover/perfectly-clean/multi-action-foam-cleanserpurifying-mask</t>
  </si>
  <si>
    <t>https://www.esteelauder.com/product/684/25713/product-catalog/skincare/cleanser-makeup-remover/perfectly-clean/multi-action-foam-cleanserpurifying-mask#pr-reviewdisplay</t>
  </si>
  <si>
    <t>Re-NutrivUltimate Diamond Transformative Brilliance Serum</t>
  </si>
  <si>
    <t>PR4901</t>
  </si>
  <si>
    <t>https://www.esteelauder.com/product/679/101112/product-catalog/re-nutriv/re-nutriv-repair-serum/re-nutriv/ultimate-diamond-transformative-brilliance-serum</t>
  </si>
  <si>
    <t>https://www.esteelauder.com/product/679/101112/product-catalog/re-nutriv/re-nutriv-repair-serum/re-nutriv/ultimate-diamond-transformative-brilliance-serum#pr-reviewdisplay</t>
  </si>
  <si>
    <t>Re-NutrivUltimate Diamond Transformative Brilliance Serum Refill</t>
  </si>
  <si>
    <t>PRTF01</t>
  </si>
  <si>
    <t>https://www.esteelauder.com/product/679/101113/product-catalog/re-nutriv/re-nutriv-repair-serum/re-nutriv/ultimate-diamond-transformative-brilliance-serum-refill</t>
  </si>
  <si>
    <t>https://www.esteelauder.com/product/679/101113/product-catalog/re-nutriv/re-nutriv-repair-serum/re-nutriv/ultimate-diamond-transformative-brilliance-serum-refill#pr-reviewdisplay</t>
  </si>
  <si>
    <t>Micro Essence Travel SizeTreatment Lotion Toner with Bio-Ferment</t>
  </si>
  <si>
    <t>GREK01</t>
  </si>
  <si>
    <t>https://www.esteelauder.com/product/26389/101868/product-catalog/skincare/toner-treatment-lotion/micro-essence-travel-size/treatment-lotion-toner-with-bio-ferment</t>
  </si>
  <si>
    <t>https://www.esteelauder.com/product/26389/101868/product-catalog/skincare/toner-treatment-lotion/micro-essence-travel-size/treatment-lotion-toner-with-bio-ferment#pr-reviewdisplay</t>
  </si>
  <si>
    <t>Micro Essence Travel SizeTreatment Lotion Toner Fresh with Sakura Ferment</t>
  </si>
  <si>
    <t>GREJ01</t>
  </si>
  <si>
    <t>https://www.esteelauder.com/product/26389/101869/product-catalog/skincare/toner-treatment-lotion/micro-essence-travel-size/treatment-lotion-toner-fresh-with-sakura-ferment</t>
  </si>
  <si>
    <t>https://www.esteelauder.com/product/26389/101869/product-catalog/skincare/toner-treatment-lotion/micro-essence-travel-size/treatment-lotion-toner-fresh-with-sakura-ferment#pr-reviewdisplay</t>
  </si>
  <si>
    <t>Nutritious Travel Size2-in-1 Foam Cleanser/Purifying Mask</t>
  </si>
  <si>
    <t>G7EB01</t>
  </si>
  <si>
    <t>https://www.esteelauder.com/product/684/136088/product-catalog/skincare/cleanser-makeup-remover/nutritious-travel-size/2-in-1-foam-cleanserpurifying-mask</t>
  </si>
  <si>
    <t>https://www.esteelauder.com/product/684/136088/product-catalog/skincare/cleanser-makeup-remover/nutritious-travel-size/2-in-1-foam-cleanserpurifying-mask#pr-reviewdisplay</t>
  </si>
  <si>
    <t>Nutritious Travel SizeMelting Soft Creme/Mask Moisturizer</t>
  </si>
  <si>
    <t>G2GN01</t>
  </si>
  <si>
    <t>https://www.esteelauder.com/product/688/110710/product-catalog/skincare/moisturizer/nutritious-travel-size/melting-soft-crememask-moisturizer</t>
  </si>
  <si>
    <t>https://www.esteelauder.com/product/688/110710/product-catalog/skincare/moisturizer/nutritious-travel-size/melting-soft-crememask-moisturizer#pr-reviewdisplay</t>
  </si>
  <si>
    <t>https://www.esteelauder.com/product/684/112204/product-catalog/skincare/cleanser-makeup-remover/nutritious/2-in-1-foam-cleanser</t>
  </si>
  <si>
    <t>SKU Length</t>
  </si>
  <si>
    <t>Pattern</t>
  </si>
  <si>
    <t>Duplicates</t>
  </si>
  <si>
    <t>Green cells have comments</t>
  </si>
  <si>
    <t>clean</t>
  </si>
  <si>
    <t>duplicate</t>
  </si>
  <si>
    <t>GTJY</t>
  </si>
  <si>
    <t>PYNF</t>
  </si>
  <si>
    <t>GREK</t>
  </si>
  <si>
    <t>G6DH</t>
  </si>
  <si>
    <t>GTJX</t>
  </si>
  <si>
    <t>PR2W</t>
  </si>
  <si>
    <t>PG50</t>
  </si>
  <si>
    <t>PRTF</t>
  </si>
  <si>
    <t>Clean SKUs</t>
  </si>
  <si>
    <t>Length check</t>
  </si>
  <si>
    <t>Now I will carry over these cases to another tab (Prep 2) and intentionally disrupt SKUs to showcase cleaning and validation methods</t>
  </si>
  <si>
    <t>Column3</t>
  </si>
  <si>
    <t>1 taille</t>
  </si>
  <si>
    <t>Estée Lauder x Ladurée Coffret Parfum Beautiful Magnolia Dynamic Delights</t>
  </si>
  <si>
    <t>Ajouter au panier</t>
  </si>
  <si>
    <t>Une collection de 3 produits comprenant un vaporisateur d’eau de parfum Beautiful Magnolia en grand format.</t>
  </si>
  <si>
    <t>€87.00</t>
  </si>
  <si>
    <t>3 tailles</t>
  </si>
  <si>
    <t>Estée Lauder Pleasures Eau de Parfum Spray</t>
  </si>
  <si>
    <t/>
  </si>
  <si>
    <t>€157.00</t>
  </si>
  <si>
    <t>100 ml</t>
  </si>
  <si>
    <t>€1.57</t>
  </si>
  <si>
    <t>Bronze Goddess Nuit Bronze Goddess Nuit</t>
  </si>
  <si>
    <t>Rayonnante. Séduisante. Envoûtante. Illuminez vos nuits.</t>
  </si>
  <si>
    <t>€100.00</t>
  </si>
  <si>
    <t>50 ml</t>
  </si>
  <si>
    <t>€2.00</t>
  </si>
  <si>
    <t>Bronze Goddess Eau Fraîche Eau de toilette</t>
  </si>
  <si>
    <t>Toute la chaleur. Tout le désir. Illuminez votre journée.</t>
  </si>
  <si>
    <t>€98.00</t>
  </si>
  <si>
    <t>€1.96</t>
  </si>
  <si>
    <t>Knowing Eau de Parfum Spray</t>
  </si>
  <si>
    <t>€153.00</t>
  </si>
  <si>
    <t>75 ml</t>
  </si>
  <si>
    <t>€2.04</t>
  </si>
  <si>
    <t>White Linen Eau de Parfum Spray</t>
  </si>
  <si>
    <t>€122.00</t>
  </si>
  <si>
    <t>60 ml</t>
  </si>
  <si>
    <t>€2.03</t>
  </si>
  <si>
    <t>AERIN Tuberose Le Jour Spray parfumé</t>
  </si>
  <si>
    <t>Floral frais. Fleuri. Délicat.</t>
  </si>
  <si>
    <t>€271.00</t>
  </si>
  <si>
    <t>€5.42</t>
  </si>
  <si>
    <t>Bronze Goddess Aegea Eau de Parfum Spray</t>
  </si>
  <si>
    <t>Vibrant. Féminin. Exaltant.</t>
  </si>
  <si>
    <t>SpellBound Eau de Parfum Spray</t>
  </si>
  <si>
    <t>Irrésistible, épicé, riche</t>
  </si>
  <si>
    <t>€78.00</t>
  </si>
  <si>
    <t>€1.56</t>
  </si>
  <si>
    <t>AERIN Mediterranean Honeysuckle Figue Eau de Parfum Spray</t>
  </si>
  <si>
    <t>Fruité et solaire. Sucré. Chaud.</t>
  </si>
  <si>
    <t>€144.00</t>
  </si>
  <si>
    <t>€2.88</t>
  </si>
  <si>
    <t>Lauder Pleasures For Men Cologne Spray</t>
  </si>
  <si>
    <t>€92.00</t>
  </si>
  <si>
    <t>€0.92</t>
  </si>
  <si>
    <t>Estée Lauder Pleasures Lait Parfumé pour le Corps</t>
  </si>
  <si>
    <t>Hydratation légère et lissante</t>
  </si>
  <si>
    <t>€79.00</t>
  </si>
  <si>
    <t>250 ml</t>
  </si>
  <si>
    <t>€0.32</t>
  </si>
  <si>
    <t>Sensuous Eau de Parfum Spray</t>
  </si>
  <si>
    <t>Chaleureux, lumineux, féminin</t>
  </si>
  <si>
    <t>€119.00</t>
  </si>
  <si>
    <t>€2.38</t>
  </si>
  <si>
    <t>Estée Pure Fragrance Spray</t>
  </si>
  <si>
    <t>Classique, Féminin, Étincelant</t>
  </si>
  <si>
    <t>Crème pour les mains ultra riche</t>
  </si>
  <si>
    <t>Une hydratation intense, gourmande et durable pour les mains.</t>
  </si>
  <si>
    <t>€66.00</t>
  </si>
  <si>
    <t>€1.32</t>
  </si>
  <si>
    <t>AERIN Mediterranean Honeysuckle Bougie parfumée</t>
  </si>
  <si>
    <t>Le parfum frais de chèvrefeuille méditerranéen parfait pour la maison.</t>
  </si>
  <si>
    <t>€65.00</t>
  </si>
  <si>
    <t>200 g</t>
  </si>
  <si>
    <t>€0.33</t>
  </si>
  <si>
    <t>2 tailles</t>
  </si>
  <si>
    <t>Private Collection Legacy Eau de Parfum Spray</t>
  </si>
  <si>
    <t>€33.00</t>
  </si>
  <si>
    <t>4 ml</t>
  </si>
  <si>
    <t>€8.25</t>
  </si>
  <si>
    <t>White Linen Legacy Eau de Parfum Spray</t>
  </si>
  <si>
    <t>Blushing Sands Eau de Parfum Spray Rechargeable</t>
  </si>
  <si>
    <t>Lumineuse, épicée, scintillante. Avec du vétiver onirique.</t>
  </si>
  <si>
    <t>40 ml</t>
  </si>
  <si>
    <t>€2.98</t>
  </si>
  <si>
    <t>Desert Eden Eau de Parfum Spray Rechargeable</t>
  </si>
  <si>
    <t>Eau de Parfum Spray Rechargeable</t>
  </si>
  <si>
    <t>AERIN Rose de Grasse Pour Filles Eau de toilette</t>
  </si>
  <si>
    <t>Rose Fraîche. Jeunesse. Fougueux.</t>
  </si>
  <si>
    <t>€106.00</t>
  </si>
  <si>
    <t>30 ml</t>
  </si>
  <si>
    <t>€3.53</t>
  </si>
  <si>
    <t>Knowing Legacy Eau de Parfum Spray</t>
  </si>
  <si>
    <t>Tender Light Eau de Parfum Spray Rechargeable</t>
  </si>
  <si>
    <t>Frais et exaltant. Infusé d’accord de thé chinois.</t>
  </si>
  <si>
    <t>Beautiful Eau de Parfum Rollerball</t>
  </si>
  <si>
    <t>Emportez-le partout.</t>
  </si>
  <si>
    <t>€89.00</t>
  </si>
  <si>
    <t>€2.97</t>
  </si>
  <si>
    <t>Azurée Legacy Eau de Parfum Spray</t>
  </si>
  <si>
    <t>Boisé et aromatique. Notes chaudes d’herbes et d’épices.</t>
  </si>
  <si>
    <t>Paradise Moon Eau de Parfum Spray Rechargeable</t>
  </si>
  <si>
    <t>Riche. Audacieux. Au cœur, des fleurs d’osmanthe luxuriante.</t>
  </si>
  <si>
    <t>€155.00</t>
  </si>
  <si>
    <t>100 ml (remplissage)</t>
  </si>
  <si>
    <t>€1.55</t>
  </si>
  <si>
    <t>Beautiful Magnolia Eau de Parfum Spray</t>
  </si>
  <si>
    <t>Exubérant. Passionné. Expressif.</t>
  </si>
  <si>
    <t>€81.00</t>
  </si>
  <si>
    <t>€2.70</t>
  </si>
  <si>
    <t>AERIN Ambrette de Noir Spray parfumé</t>
  </si>
  <si>
    <t>Floral ambré. Opulent. Captivant</t>
  </si>
  <si>
    <t>AERIN Fleur de Peony Eau de Parfum Spray</t>
  </si>
  <si>
    <t>Fruité et floral. Délicieux. Happy.</t>
  </si>
  <si>
    <t>€152.00</t>
  </si>
  <si>
    <t>€3.04</t>
  </si>
  <si>
    <t>Beautiful Belle Eau de Parfum Spray</t>
  </si>
  <si>
    <t>Romantique, insouciant, irrévérencieux</t>
  </si>
  <si>
    <t>€1.40</t>
  </si>
  <si>
    <t>AERIN Mediterranean Honeysuckle Crème pour le corps</t>
  </si>
  <si>
    <t>150 ml</t>
  </si>
  <si>
    <t>€0.52</t>
  </si>
  <si>
    <t>AERIN Lilac Path Eau de Parfum Spray</t>
  </si>
  <si>
    <t>Floral riche. Luxuriant. Onirique.</t>
  </si>
  <si>
    <t>Private Collection Vaporisateur Eau de Private Collection Estée Lauder</t>
  </si>
  <si>
    <t>Estée Legacy Eau de Parfum Spray</t>
  </si>
  <si>
    <t>AERIN Rose de Grasse Joyful Bloom Eau de Parfum Spray</t>
  </si>
  <si>
    <t>Rose florale. Vivant. Joyeux.</t>
  </si>
  <si>
    <t>€220.00</t>
  </si>
  <si>
    <t>€4.40</t>
  </si>
  <si>
    <t>AERIN Cedar Violet Eau de Parfum Spray</t>
  </si>
  <si>
    <t>Floral boisé. Lumineux. Édifiant.</t>
  </si>
  <si>
    <t>Beautiful Magnolia Crème pour les Mains Nourrissante</t>
  </si>
  <si>
    <t>Hydratation légère pour les mains qui pénètre rapidement.</t>
  </si>
  <si>
    <t>€26.00</t>
  </si>
  <si>
    <t>€0.87</t>
  </si>
  <si>
    <t>Cinnabar Eau de Parfum Spray</t>
  </si>
  <si>
    <t>Exotique, mystérieux, chaleureux</t>
  </si>
  <si>
    <t>AERIN Ikat Jasmine Crème pour le corps</t>
  </si>
  <si>
    <t>Floral vivifiant. Velouté. Luxueux.</t>
  </si>
  <si>
    <t>Re-Nutriv Crème Mains Lissante Confort Intense</t>
  </si>
  <si>
    <t>Nourrit en profondeur les mains sèches.</t>
  </si>
  <si>
    <t>€94.00</t>
  </si>
  <si>
    <t>€0.94</t>
  </si>
  <si>
    <t>AERIN Wild Geranium Crème pour le corps</t>
  </si>
  <si>
    <t>Floral luxuriant. Lissant. Luxueux.</t>
  </si>
  <si>
    <t>Azurée Eau de Parfum Spray</t>
  </si>
  <si>
    <t>Radieux, Ensoleillé, Chaud</t>
  </si>
  <si>
    <t>Beautiful Lait parfumé pour le corps</t>
  </si>
  <si>
    <t>€84.00</t>
  </si>
  <si>
    <t>€0.34</t>
  </si>
  <si>
    <t>Youth-Dew Déodorant Anti-Perspirante à Bille</t>
  </si>
  <si>
    <t>Efficace et doux</t>
  </si>
  <si>
    <t>€41.00</t>
  </si>
  <si>
    <t>€0.55</t>
  </si>
  <si>
    <t>Youth-Dew Crème parfumée pour le corps</t>
  </si>
  <si>
    <t>Hydratation riche et lissante</t>
  </si>
  <si>
    <t>200 ml</t>
  </si>
  <si>
    <t>€0.40</t>
  </si>
  <si>
    <t>AERIN Rose Cocoa Spray parfumé</t>
  </si>
  <si>
    <t>Rose Gourmand. Décadent. Addictif.</t>
  </si>
  <si>
    <t>€268.00</t>
  </si>
  <si>
    <t>€5.36</t>
  </si>
  <si>
    <t>Youth-Dew Eau de Parfum Spray</t>
  </si>
  <si>
    <t>Épuisé</t>
  </si>
  <si>
    <t>€117.00</t>
  </si>
  <si>
    <t>67 ml</t>
  </si>
  <si>
    <t>€1.75</t>
  </si>
  <si>
    <t>AERIN Tuberose Gardenia Eau de Parfum Spray</t>
  </si>
  <si>
    <t>Floral intemporel Luxueux. Unique.</t>
  </si>
  <si>
    <t>Estée Lauder x Ladurée Coffret Parfum Pleasures Savor The Moment</t>
  </si>
  <si>
    <t>Une collection de 3 produits comprenant un vaporisateur d’eau de parfum Pleasures en grand format.</t>
  </si>
  <si>
    <t>Beautiful Magnolia L’Eau Vaporisateur Eau de toilette</t>
  </si>
  <si>
    <t>Confiant, Sensuel, Floral</t>
  </si>
  <si>
    <t>€1.24</t>
  </si>
  <si>
    <t>Infinite Sky Eau de Parfum Spray</t>
  </si>
  <si>
    <t>Sensuel, épicé. Le parfum du poivre de Sichuan.</t>
  </si>
  <si>
    <t>€27.00</t>
  </si>
  <si>
    <t>€6.75</t>
  </si>
  <si>
    <t>AERIN Mediterranean Honeysuckle Eau de Parfum Spray</t>
  </si>
  <si>
    <t>Hespéridé floral. Pétillant. Insouciant.</t>
  </si>
  <si>
    <t>AERIN Limone di Sicilia Spray parfumé</t>
  </si>
  <si>
    <t>Floral hespéridé. Étincelant. Énergique.</t>
  </si>
  <si>
    <t>AERIN Hibiscus Palm Eau de Parfum</t>
  </si>
  <si>
    <t>Floral solaire. Sensuel. Décontracté.</t>
  </si>
  <si>
    <t>AERIN Rose de Grasse Eau de parfum Spray</t>
  </si>
  <si>
    <t>Rose opulente. Élégant. Intemporel.</t>
  </si>
  <si>
    <t>AERIN Ikat Jasmine Eau de Parfum Spray</t>
  </si>
  <si>
    <t>Floral vivifiant. Frais. Vivifiant.</t>
  </si>
  <si>
    <t>€233.00</t>
  </si>
  <si>
    <t>€2.33</t>
  </si>
  <si>
    <t>Bronze Goddess Flora Verde Eau de Parfum</t>
  </si>
  <si>
    <t>Infinite Sky Eau de Parfum Spray Rechargeable</t>
  </si>
  <si>
    <t>€196.00</t>
  </si>
  <si>
    <t>Dream Dusk Eau de Parfum Spray Rechargeable</t>
  </si>
  <si>
    <t>Un jardin secret en fleurs avec l’accord de fleur de cerisier.</t>
  </si>
  <si>
    <t>Youth-Dew Huile de bain</t>
  </si>
  <si>
    <t>À porter ou à utiliser pour le bain</t>
  </si>
  <si>
    <t>€56.00</t>
  </si>
  <si>
    <t>€0.93</t>
  </si>
  <si>
    <t>Radiant Mirage Eau de Parfum Spray Rechargeable</t>
  </si>
  <si>
    <t>Une aventure florale qui commence avec des notes de Jasmin Sambac.</t>
  </si>
  <si>
    <t>AERIN Amber Musk Eau de Parfum Spray</t>
  </si>
  <si>
    <t>Ambré floral. Velouté. Chaud.</t>
  </si>
  <si>
    <t>€40.00</t>
  </si>
  <si>
    <t>7 ml</t>
  </si>
  <si>
    <t>€5.71</t>
  </si>
  <si>
    <t>Modern Muse Eau de Parfum Rollerball</t>
  </si>
  <si>
    <t>AERIN Amber Musk Patchouli Bougie parfumée</t>
  </si>
  <si>
    <t>Le parfum New Amber Musk Patchouli parfait pour la maison.</t>
  </si>
  <si>
    <t>€80.00</t>
  </si>
  <si>
    <t>Youth-Dew Boîte de poudre libre</t>
  </si>
  <si>
    <t>€0.20</t>
  </si>
  <si>
    <t>Tender Light Eau de Parfum Spray</t>
  </si>
  <si>
    <t>€39.00</t>
  </si>
  <si>
    <t>10 ml</t>
  </si>
  <si>
    <t>€3.90</t>
  </si>
  <si>
    <t>Blushing Sands Eau de Parfum Spray</t>
  </si>
  <si>
    <t>Radiant Mirage Eau de Parfum Spray</t>
  </si>
  <si>
    <t>Dream Dusk Eau de Parfum Spray</t>
  </si>
  <si>
    <t>AERIN Fleur de Peony Crème pour le corps</t>
  </si>
  <si>
    <t>Fruité et floral. Lissant. Luxueuse.</t>
  </si>
  <si>
    <t>€62.00</t>
  </si>
  <si>
    <t>€0.41</t>
  </si>
  <si>
    <t>AERIN Wild Geranium Eau de Parfum</t>
  </si>
  <si>
    <t>Floral luxuriant. Lumineux. Enchanteur.</t>
  </si>
  <si>
    <t>AERIN Tuberose Le Soir Eau de parfum Spray</t>
  </si>
  <si>
    <t>Floral riche. Sensuel. Enveloppement.</t>
  </si>
  <si>
    <t>Youth-Dew Lait Corps</t>
  </si>
  <si>
    <t>€58.00</t>
  </si>
  <si>
    <t>€0.39</t>
  </si>
  <si>
    <t>AERIN Rose de Grasse Parfum Édition Limitée</t>
  </si>
  <si>
    <t>€210.00</t>
  </si>
  <si>
    <t>€4.20</t>
  </si>
  <si>
    <t>Size</t>
  </si>
  <si>
    <t>Add to cart</t>
  </si>
  <si>
    <t>Description in detail</t>
  </si>
  <si>
    <t>price</t>
  </si>
  <si>
    <t>Ml</t>
  </si>
  <si>
    <t>price per ml</t>
  </si>
  <si>
    <t>Products</t>
  </si>
  <si>
    <t>Price_Clean</t>
  </si>
  <si>
    <t>Favorite Perfumes Estee Lauder by Price</t>
  </si>
  <si>
    <t>Average Perfume Price on Web Page</t>
  </si>
  <si>
    <t>Price</t>
  </si>
  <si>
    <t>Average Perfume Price per ML</t>
  </si>
  <si>
    <t>PricePerMLClean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</si>
</sst>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/>
    </xf>
    <xf numFmtId="0" fontId="4" fillId="0" borderId="1" xfId="0" applyFont="1" applyBorder="1"/>
    <xf numFmtId="164" fontId="4" fillId="0" borderId="5" xfId="0" applyNumberFormat="1" applyFont="1" applyBorder="1"/>
    <xf numFmtId="0" fontId="4" fillId="0" borderId="2" xfId="0" applyFont="1" applyBorder="1"/>
    <xf numFmtId="0" fontId="4" fillId="0" borderId="3" xfId="0" applyFont="1" applyBorder="1"/>
    <xf numFmtId="164" fontId="4" fillId="0" borderId="6" xfId="0" applyNumberFormat="1" applyFont="1" applyBorder="1"/>
    <xf numFmtId="44" fontId="4" fillId="0" borderId="7" xfId="1" applyFont="1" applyBorder="1" applyAlignment="1">
      <alignment vertical="center" wrapText="1"/>
    </xf>
    <xf numFmtId="44" fontId="4" fillId="0" borderId="8" xfId="1" applyFont="1" applyBorder="1" applyAlignment="1">
      <alignment vertical="center" wrapText="1"/>
    </xf>
    <xf numFmtId="44" fontId="4" fillId="0" borderId="9" xfId="1" applyFont="1" applyBorder="1" applyAlignment="1">
      <alignment vertical="center" wrapText="1"/>
    </xf>
    <xf numFmtId="44" fontId="6" fillId="0" borderId="8" xfId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6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vent Ibicioglu" id="{9ABEF182-2E4B-41B1-9DDA-A566EB33FF9D}" userId="58ded836c524c10c" providerId="Windows Live"/>
  <person displayName="Ibicioglu, Levent [ibicioglul]" id="{5D36367A-B953-439C-9010-BE2FBF264337}" userId="S::ibicioglul@student.wpunj.edu::82c2098a-c442-4836-86fc-0e1f6c1d69a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F26B23-060C-4EA2-AC02-4545FAD64547}" autoFormatId="16" applyNumberFormats="0" applyBorderFormats="0" applyFontFormats="0" applyPatternFormats="0" applyAlignmentFormats="0" applyWidthHeightFormats="0">
  <queryTableRefresh nextId="20" unboundColumnsRight="2">
    <queryTableFields count="10">
      <queryTableField id="9" name="Size" tableColumnId="9"/>
      <queryTableField id="10" name="Description" tableColumnId="10"/>
      <queryTableField id="3" name="Column3" tableColumnId="3"/>
      <queryTableField id="11" name="Add to cart" tableColumnId="11"/>
      <queryTableField id="12" name="Description in detail" tableColumnId="12"/>
      <queryTableField id="13" name="price" tableColumnId="13"/>
      <queryTableField id="14" name="Ml" tableColumnId="14"/>
      <queryTableField id="15" name="price per ml" tableColumnId="15"/>
      <queryTableField id="18" dataBound="0" tableColumnId="16"/>
      <queryTableField id="19" dataBound="0" tableColumnId="1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D54C2-EA1A-4A9D-B6D5-67CBEED0D5C8}" name="main" displayName="main" ref="A1:E51" totalsRowShown="0">
  <autoFilter ref="A1:E51" xr:uid="{ED7D54C2-EA1A-4A9D-B6D5-67CBEED0D5C8}"/>
  <tableColumns count="5">
    <tableColumn id="1" xr3:uid="{6E6A1E36-77BB-4FC0-A890-3AB8B199A293}" name="Name"/>
    <tableColumn id="2" xr3:uid="{189FE45C-5CB1-489C-89F3-3666598513A2}" name="SKU"/>
    <tableColumn id="3" xr3:uid="{9B7461A7-7C35-4EF1-B07F-9172A03C83B0}" name="Variants/Colors"/>
    <tableColumn id="4" xr3:uid="{833D36B3-9A67-4B7E-90A6-761DF676001F}" name="Description"/>
    <tableColumn id="5" xr3:uid="{791BAB15-BC5F-4CF0-97DD-F0FE4477F11D}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94671-9BA2-47B7-8605-5010429E0E21}" name="main3" displayName="main3" ref="A1:H51" totalsRowShown="0">
  <autoFilter ref="A1:H51" xr:uid="{C8C94671-9BA2-47B7-8605-5010429E0E21}"/>
  <tableColumns count="8">
    <tableColumn id="1" xr3:uid="{916BF4DF-1174-453B-9DE2-6D925DF472BE}" name="Name"/>
    <tableColumn id="2" xr3:uid="{282C10A2-0205-4FF4-BA6D-B14BB18AF4F9}" name="SKU"/>
    <tableColumn id="3" xr3:uid="{5E06D302-BC2C-41B4-B204-423D91017C2D}" name="Variants/Colors"/>
    <tableColumn id="4" xr3:uid="{AD398AB5-AF0C-4CBB-BADB-AC27B452B5DC}" name="Description"/>
    <tableColumn id="5" xr3:uid="{D5002E40-CFC1-4334-85AA-D2A1DDF43770}" name="URL"/>
    <tableColumn id="6" xr3:uid="{D8E7A80D-6AA3-4CF1-AD85-49FA8DBDAF5E}" name="SKU Length" dataDxfId="15">
      <calculatedColumnFormula>LEN(main3[[#This Row],[SKU]])</calculatedColumnFormula>
    </tableColumn>
    <tableColumn id="7" xr3:uid="{41E12AC7-7AB8-425B-8057-74D3B36E56AD}" name="Pattern" dataDxfId="14">
      <calculatedColumnFormula>IF(RIGHT(main3[[#This Row],[SKU]],2) = "01", 1, 0)</calculatedColumnFormula>
    </tableColumn>
    <tableColumn id="8" xr3:uid="{71D5CF21-377D-443D-8A2E-7D87E23E369D}" name="Duplicates" dataDxfId="13">
      <calculatedColumnFormula>IF(ISNUMBER(SEARCH("reviewdisplay", E2)), "duplicate", "clean")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7A1D9-A28D-45D1-9419-F47DC36354FC}" name="Table5" displayName="Table5" ref="A1:J51" totalsRowShown="0">
  <autoFilter ref="A1:J51" xr:uid="{7767A1D9-A28D-45D1-9419-F47DC36354FC}">
    <filterColumn colId="7">
      <filters>
        <filter val="clean"/>
      </filters>
    </filterColumn>
  </autoFilter>
  <tableColumns count="10">
    <tableColumn id="1" xr3:uid="{862111D3-AADA-448D-A984-A8859D60175C}" name="Name"/>
    <tableColumn id="2" xr3:uid="{043FA7AC-6609-4BD9-AC3E-9C916D3F858D}" name="SKU"/>
    <tableColumn id="3" xr3:uid="{88444E1E-8CE0-4A33-9501-71D04C9F9596}" name="Variants/Colors"/>
    <tableColumn id="4" xr3:uid="{25545428-0524-449C-9A99-006498A8A98C}" name="Description"/>
    <tableColumn id="5" xr3:uid="{6C1D1D90-23DC-40EC-B161-BDEEA0DA58F0}" name="URL"/>
    <tableColumn id="6" xr3:uid="{7048CFE2-AD14-4401-862E-0CB900A8156B}" name="SKU Length"/>
    <tableColumn id="7" xr3:uid="{2FF38BC1-F096-4A87-9061-C0C6D312BFDD}" name="Pattern"/>
    <tableColumn id="8" xr3:uid="{C48F4AA0-579A-42AA-87A4-14A16DAA02E3}" name="Duplicates"/>
    <tableColumn id="9" xr3:uid="{C7B75833-568D-4ED7-80CB-C8626E59BCEB}" name="Clean SKUs" dataDxfId="12">
      <calculatedColumnFormula>IF(LEN(B2)&lt;6, TEXT(B2 &amp; "01", "@"), TEXT(B2, "@"))</calculatedColumnFormula>
    </tableColumn>
    <tableColumn id="10" xr3:uid="{F6C6A18B-D2A2-4427-B481-514948BF24E0}" name="Length check" dataDxfId="11">
      <calculatedColumnFormula>IF(LEN(Table5[[#This Row],[Clean SKUs]]), "Clean SKU", "Issue")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C5048D-1D29-4A14-8B27-C488367A2DDE}" name="Estee_Lauder_France" displayName="Estee_Lauder_France" ref="A1:J75" tableType="queryTable" totalsRowShown="0">
  <autoFilter ref="A1:J75" xr:uid="{ABC5048D-1D29-4A14-8B27-C488367A2DDE}"/>
  <sortState xmlns:xlrd2="http://schemas.microsoft.com/office/spreadsheetml/2017/richdata2" ref="A2:I75">
    <sortCondition descending="1" ref="I1:I75"/>
  </sortState>
  <tableColumns count="10">
    <tableColumn id="9" xr3:uid="{BCDC87CA-47C8-4C26-A067-F55BE1897D80}" uniqueName="9" name="Size" queryTableFieldId="9" dataDxfId="10"/>
    <tableColumn id="10" xr3:uid="{BD466F49-6FA7-41FA-9672-DFD4B01B77CB}" uniqueName="10" name="Description" queryTableFieldId="10" dataDxfId="9"/>
    <tableColumn id="3" xr3:uid="{E27C1820-A487-4CCB-88E2-24821BB944F8}" uniqueName="3" name="Column3" queryTableFieldId="3"/>
    <tableColumn id="11" xr3:uid="{F0A613A0-F712-4416-99CF-08862C72B212}" uniqueName="11" name="Add to cart" queryTableFieldId="11" dataDxfId="8"/>
    <tableColumn id="12" xr3:uid="{97704EFF-4C14-4983-9FBF-97DAF2A026F2}" uniqueName="12" name="Description in detail" queryTableFieldId="12" dataDxfId="7"/>
    <tableColumn id="13" xr3:uid="{CDD7A259-45FA-4647-9CAD-98C59A2C63D5}" uniqueName="13" name="price" queryTableFieldId="13" dataDxfId="6"/>
    <tableColumn id="14" xr3:uid="{B6C0405C-1454-45CE-89E2-8B5C14406FCD}" uniqueName="14" name="Ml" queryTableFieldId="14" dataDxfId="5"/>
    <tableColumn id="15" xr3:uid="{74E0C67F-111C-4AC9-B1C0-2EA01727BD3B}" uniqueName="15" name="price per ml" queryTableFieldId="15" dataDxfId="4"/>
    <tableColumn id="16" xr3:uid="{A954A0BC-6555-4273-9672-EB7DD3F611D4}" uniqueName="16" name="Price_Clean" queryTableFieldId="18" dataDxfId="3">
      <calculatedColumnFormula>INT(Estee_Lauder_France[[#This Row],[price]])</calculatedColumnFormula>
    </tableColumn>
    <tableColumn id="17" xr3:uid="{8489B089-4CF3-4D60-BFD6-7BD98281E6C2}" uniqueName="17" name="PricePerMLClean" queryTableFieldId="19" dataDxfId="2">
      <calculatedColumnFormula>INT(Estee_Lauder_France[[#This Row],[price per ml]])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7-29T01:10:05.21" personId="{5D36367A-B953-439C-9010-BE2FBF264337}" id="{4D6C826E-0C7F-483F-850C-F1335741274A}">
    <text xml:space="preserve">Checking SKU lengths throught LEN() formula
=len(SKU)
I can see that all SKUs are 6 digits and data seems clean as this is a customer facing end product website.
</text>
  </threadedComment>
  <threadedComment ref="G2" dT="2025-07-29T01:07:15.42" personId="{5D36367A-B953-439C-9010-BE2FBF264337}" id="{9DB7BE6C-4DCB-46DD-96CA-CB8D13211F99}">
    <text>I can see that there is a pattern with SKUs. They all end with 01 although the beginning digit/letter combinations are different.
However, there are exceptions which are flagged through if condition
=IF(RIGHT([@SKU],2) = "01", 1, 0)
This probably doesn't mean they are incorrect, but these SKUs are the minority cases|
These cases are flagged with 0 and to higlight them, I applied conditional formatting.</text>
  </threadedComment>
  <threadedComment ref="H2" dT="2025-07-29T01:16:28.63" personId="{5D36367A-B953-439C-9010-BE2FBF264337}" id="{A12B43CB-5496-47F7-A6B8-F00CDEBE989E}">
    <text xml:space="preserve">Web scraping carried over some rows from review display section which resulted in duplicate SKUs
I found them through combination of ISNUMBER(SEARCH())
Which detects patterns in strings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5-07-29T23:15:54.19" personId="{9ABEF182-2E4B-41B1-9DDA-A566EB33FF9D}" id="{C7D8F4B8-2747-4097-8C5F-5F8182465BC5}">
    <text>Intentionally created incomplete SKUs to fix them later on in Column 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12DF-B6F1-4627-83FB-0B2C22B13F20}">
  <dimension ref="A1:E51"/>
  <sheetViews>
    <sheetView workbookViewId="0">
      <selection activeCell="D29" sqref="D29"/>
    </sheetView>
  </sheetViews>
  <sheetFormatPr defaultRowHeight="14.5" x14ac:dyDescent="0.35"/>
  <cols>
    <col min="1" max="1" width="65.7265625" bestFit="1" customWidth="1"/>
    <col min="2" max="2" width="8" bestFit="1" customWidth="1"/>
    <col min="3" max="3" width="16.26953125" customWidth="1"/>
    <col min="4" max="4" width="13" customWidth="1"/>
    <col min="5" max="5" width="179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35">
      <c r="A4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35">
      <c r="A5" t="s">
        <v>15</v>
      </c>
      <c r="B5" t="s">
        <v>16</v>
      </c>
      <c r="C5" t="s">
        <v>7</v>
      </c>
      <c r="D5" t="s">
        <v>7</v>
      </c>
      <c r="E5" t="s">
        <v>17</v>
      </c>
    </row>
    <row r="6" spans="1:5" x14ac:dyDescent="0.35">
      <c r="A6" t="s">
        <v>18</v>
      </c>
      <c r="B6" t="s">
        <v>19</v>
      </c>
      <c r="C6" t="s">
        <v>7</v>
      </c>
      <c r="D6" t="s">
        <v>7</v>
      </c>
      <c r="E6" t="s">
        <v>20</v>
      </c>
    </row>
    <row r="7" spans="1:5" x14ac:dyDescent="0.35">
      <c r="A7" t="s">
        <v>21</v>
      </c>
      <c r="B7" t="s">
        <v>22</v>
      </c>
      <c r="C7" t="s">
        <v>7</v>
      </c>
      <c r="D7" t="s">
        <v>7</v>
      </c>
      <c r="E7" t="s">
        <v>23</v>
      </c>
    </row>
    <row r="8" spans="1:5" x14ac:dyDescent="0.35">
      <c r="A8" t="s">
        <v>24</v>
      </c>
      <c r="B8" t="s">
        <v>25</v>
      </c>
      <c r="C8" t="s">
        <v>7</v>
      </c>
      <c r="D8" t="s">
        <v>7</v>
      </c>
      <c r="E8" t="s">
        <v>26</v>
      </c>
    </row>
    <row r="9" spans="1:5" x14ac:dyDescent="0.35">
      <c r="A9" t="s">
        <v>24</v>
      </c>
      <c r="B9" t="s">
        <v>25</v>
      </c>
      <c r="C9" t="s">
        <v>7</v>
      </c>
      <c r="D9" t="s">
        <v>7</v>
      </c>
      <c r="E9" t="s">
        <v>27</v>
      </c>
    </row>
    <row r="10" spans="1:5" x14ac:dyDescent="0.35">
      <c r="A10" t="s">
        <v>28</v>
      </c>
      <c r="B10" t="s">
        <v>29</v>
      </c>
      <c r="C10" t="s">
        <v>7</v>
      </c>
      <c r="D10" t="s">
        <v>7</v>
      </c>
      <c r="E10" t="s">
        <v>30</v>
      </c>
    </row>
    <row r="11" spans="1:5" x14ac:dyDescent="0.35">
      <c r="A11" t="s">
        <v>28</v>
      </c>
      <c r="B11" t="s">
        <v>29</v>
      </c>
      <c r="C11" t="s">
        <v>7</v>
      </c>
      <c r="D11" t="s">
        <v>7</v>
      </c>
      <c r="E11" t="s">
        <v>31</v>
      </c>
    </row>
    <row r="12" spans="1:5" x14ac:dyDescent="0.35">
      <c r="A12" t="s">
        <v>32</v>
      </c>
      <c r="B12" t="s">
        <v>33</v>
      </c>
      <c r="C12" t="s">
        <v>7</v>
      </c>
      <c r="D12" t="s">
        <v>7</v>
      </c>
      <c r="E12" t="s">
        <v>34</v>
      </c>
    </row>
    <row r="13" spans="1:5" x14ac:dyDescent="0.35">
      <c r="A13" t="s">
        <v>32</v>
      </c>
      <c r="B13" t="s">
        <v>33</v>
      </c>
      <c r="C13" t="s">
        <v>7</v>
      </c>
      <c r="D13" t="s">
        <v>7</v>
      </c>
      <c r="E13" t="s">
        <v>35</v>
      </c>
    </row>
    <row r="14" spans="1:5" x14ac:dyDescent="0.35">
      <c r="A14" t="s">
        <v>36</v>
      </c>
      <c r="B14" t="s">
        <v>37</v>
      </c>
      <c r="C14" t="s">
        <v>7</v>
      </c>
      <c r="D14" t="s">
        <v>7</v>
      </c>
      <c r="E14" t="s">
        <v>38</v>
      </c>
    </row>
    <row r="15" spans="1:5" x14ac:dyDescent="0.35">
      <c r="A15" t="s">
        <v>36</v>
      </c>
      <c r="B15" t="s">
        <v>37</v>
      </c>
      <c r="C15" t="s">
        <v>7</v>
      </c>
      <c r="D15" t="s">
        <v>7</v>
      </c>
      <c r="E15" t="s">
        <v>39</v>
      </c>
    </row>
    <row r="16" spans="1:5" x14ac:dyDescent="0.35">
      <c r="A16" t="s">
        <v>40</v>
      </c>
      <c r="B16" t="s">
        <v>41</v>
      </c>
      <c r="C16" t="s">
        <v>7</v>
      </c>
      <c r="D16" t="s">
        <v>7</v>
      </c>
      <c r="E16" t="s">
        <v>42</v>
      </c>
    </row>
    <row r="17" spans="1:5" x14ac:dyDescent="0.35">
      <c r="A17" t="s">
        <v>40</v>
      </c>
      <c r="B17" t="s">
        <v>41</v>
      </c>
      <c r="C17" t="s">
        <v>7</v>
      </c>
      <c r="D17" t="s">
        <v>7</v>
      </c>
      <c r="E17" t="s">
        <v>43</v>
      </c>
    </row>
    <row r="18" spans="1:5" x14ac:dyDescent="0.35">
      <c r="A18" t="s">
        <v>44</v>
      </c>
      <c r="B18" t="s">
        <v>45</v>
      </c>
      <c r="C18" t="s">
        <v>7</v>
      </c>
      <c r="D18" t="s">
        <v>7</v>
      </c>
      <c r="E18" t="s">
        <v>46</v>
      </c>
    </row>
    <row r="19" spans="1:5" x14ac:dyDescent="0.35">
      <c r="A19" t="s">
        <v>44</v>
      </c>
      <c r="B19" t="s">
        <v>45</v>
      </c>
      <c r="C19" t="s">
        <v>7</v>
      </c>
      <c r="D19" t="s">
        <v>7</v>
      </c>
      <c r="E19" t="s">
        <v>47</v>
      </c>
    </row>
    <row r="20" spans="1:5" x14ac:dyDescent="0.35">
      <c r="A20" t="s">
        <v>48</v>
      </c>
      <c r="B20" t="s">
        <v>49</v>
      </c>
      <c r="C20" t="s">
        <v>7</v>
      </c>
      <c r="D20" t="s">
        <v>7</v>
      </c>
      <c r="E20" t="s">
        <v>50</v>
      </c>
    </row>
    <row r="21" spans="1:5" x14ac:dyDescent="0.35">
      <c r="A21" t="s">
        <v>48</v>
      </c>
      <c r="B21" t="s">
        <v>49</v>
      </c>
      <c r="C21" t="s">
        <v>7</v>
      </c>
      <c r="D21" t="s">
        <v>7</v>
      </c>
      <c r="E21" t="s">
        <v>51</v>
      </c>
    </row>
    <row r="22" spans="1:5" x14ac:dyDescent="0.35">
      <c r="A22" t="s">
        <v>52</v>
      </c>
      <c r="B22" t="s">
        <v>53</v>
      </c>
      <c r="C22" t="s">
        <v>7</v>
      </c>
      <c r="D22" t="s">
        <v>7</v>
      </c>
      <c r="E22" t="s">
        <v>54</v>
      </c>
    </row>
    <row r="23" spans="1:5" x14ac:dyDescent="0.35">
      <c r="A23" t="s">
        <v>52</v>
      </c>
      <c r="B23" t="s">
        <v>53</v>
      </c>
      <c r="C23" t="s">
        <v>7</v>
      </c>
      <c r="D23" t="s">
        <v>7</v>
      </c>
      <c r="E23" t="s">
        <v>55</v>
      </c>
    </row>
    <row r="24" spans="1:5" x14ac:dyDescent="0.35">
      <c r="A24" t="s">
        <v>56</v>
      </c>
      <c r="B24" t="s">
        <v>57</v>
      </c>
      <c r="C24" t="s">
        <v>7</v>
      </c>
      <c r="D24" t="s">
        <v>7</v>
      </c>
      <c r="E24" t="s">
        <v>58</v>
      </c>
    </row>
    <row r="25" spans="1:5" x14ac:dyDescent="0.35">
      <c r="A25" t="s">
        <v>56</v>
      </c>
      <c r="B25" t="s">
        <v>57</v>
      </c>
      <c r="C25" t="s">
        <v>7</v>
      </c>
      <c r="D25" t="s">
        <v>7</v>
      </c>
      <c r="E25" t="s">
        <v>59</v>
      </c>
    </row>
    <row r="26" spans="1:5" x14ac:dyDescent="0.35">
      <c r="A26" t="s">
        <v>60</v>
      </c>
      <c r="B26" t="s">
        <v>61</v>
      </c>
      <c r="C26" t="s">
        <v>7</v>
      </c>
      <c r="D26" t="s">
        <v>7</v>
      </c>
      <c r="E26" t="s">
        <v>62</v>
      </c>
    </row>
    <row r="27" spans="1:5" x14ac:dyDescent="0.35">
      <c r="A27" t="s">
        <v>60</v>
      </c>
      <c r="B27" t="s">
        <v>61</v>
      </c>
      <c r="C27" t="s">
        <v>7</v>
      </c>
      <c r="D27" t="s">
        <v>7</v>
      </c>
      <c r="E27" t="s">
        <v>63</v>
      </c>
    </row>
    <row r="28" spans="1:5" x14ac:dyDescent="0.35">
      <c r="A28" t="s">
        <v>12</v>
      </c>
      <c r="B28" t="s">
        <v>13</v>
      </c>
      <c r="C28" t="s">
        <v>7</v>
      </c>
      <c r="D28" t="s">
        <v>7</v>
      </c>
      <c r="E28" t="s">
        <v>64</v>
      </c>
    </row>
    <row r="29" spans="1:5" x14ac:dyDescent="0.35">
      <c r="A29" t="s">
        <v>65</v>
      </c>
      <c r="B29" t="s">
        <v>66</v>
      </c>
      <c r="C29" t="s">
        <v>7</v>
      </c>
      <c r="D29" t="s">
        <v>7</v>
      </c>
      <c r="E29" t="s">
        <v>67</v>
      </c>
    </row>
    <row r="30" spans="1:5" x14ac:dyDescent="0.35">
      <c r="A30" t="s">
        <v>65</v>
      </c>
      <c r="B30" t="s">
        <v>66</v>
      </c>
      <c r="C30" t="s">
        <v>7</v>
      </c>
      <c r="D30" t="s">
        <v>7</v>
      </c>
      <c r="E30" t="s">
        <v>68</v>
      </c>
    </row>
    <row r="31" spans="1:5" x14ac:dyDescent="0.35">
      <c r="A31" t="s">
        <v>69</v>
      </c>
      <c r="B31" t="s">
        <v>70</v>
      </c>
      <c r="C31" t="s">
        <v>7</v>
      </c>
      <c r="D31" t="s">
        <v>7</v>
      </c>
      <c r="E31" t="s">
        <v>71</v>
      </c>
    </row>
    <row r="32" spans="1:5" x14ac:dyDescent="0.35">
      <c r="A32" t="s">
        <v>69</v>
      </c>
      <c r="B32" t="s">
        <v>70</v>
      </c>
      <c r="C32" t="s">
        <v>7</v>
      </c>
      <c r="D32" t="s">
        <v>7</v>
      </c>
      <c r="E32" t="s">
        <v>72</v>
      </c>
    </row>
    <row r="33" spans="1:5" x14ac:dyDescent="0.35">
      <c r="A33" t="s">
        <v>73</v>
      </c>
      <c r="B33" t="s">
        <v>74</v>
      </c>
      <c r="C33" t="s">
        <v>7</v>
      </c>
      <c r="D33" t="s">
        <v>7</v>
      </c>
      <c r="E33" t="s">
        <v>75</v>
      </c>
    </row>
    <row r="34" spans="1:5" x14ac:dyDescent="0.35">
      <c r="A34" t="s">
        <v>73</v>
      </c>
      <c r="B34" t="s">
        <v>74</v>
      </c>
      <c r="C34" t="s">
        <v>7</v>
      </c>
      <c r="D34" t="s">
        <v>7</v>
      </c>
      <c r="E34" t="s">
        <v>76</v>
      </c>
    </row>
    <row r="35" spans="1:5" x14ac:dyDescent="0.35">
      <c r="A35" t="s">
        <v>77</v>
      </c>
      <c r="B35" t="s">
        <v>78</v>
      </c>
      <c r="C35" t="s">
        <v>7</v>
      </c>
      <c r="D35" t="s">
        <v>7</v>
      </c>
      <c r="E35" t="s">
        <v>79</v>
      </c>
    </row>
    <row r="36" spans="1:5" x14ac:dyDescent="0.35">
      <c r="A36" t="s">
        <v>77</v>
      </c>
      <c r="B36" t="s">
        <v>78</v>
      </c>
      <c r="C36" t="s">
        <v>7</v>
      </c>
      <c r="D36" t="s">
        <v>7</v>
      </c>
      <c r="E36" t="s">
        <v>80</v>
      </c>
    </row>
    <row r="37" spans="1:5" x14ac:dyDescent="0.35">
      <c r="A37" t="s">
        <v>81</v>
      </c>
      <c r="B37" t="s">
        <v>82</v>
      </c>
      <c r="C37" t="s">
        <v>7</v>
      </c>
      <c r="D37" t="s">
        <v>7</v>
      </c>
      <c r="E37" t="s">
        <v>83</v>
      </c>
    </row>
    <row r="38" spans="1:5" x14ac:dyDescent="0.35">
      <c r="A38" t="s">
        <v>81</v>
      </c>
      <c r="B38" t="s">
        <v>82</v>
      </c>
      <c r="C38" t="s">
        <v>7</v>
      </c>
      <c r="D38" t="s">
        <v>7</v>
      </c>
      <c r="E38" t="s">
        <v>84</v>
      </c>
    </row>
    <row r="39" spans="1:5" x14ac:dyDescent="0.35">
      <c r="A39" t="s">
        <v>85</v>
      </c>
      <c r="B39" t="s">
        <v>86</v>
      </c>
      <c r="C39" t="s">
        <v>7</v>
      </c>
      <c r="D39" t="s">
        <v>7</v>
      </c>
      <c r="E39" t="s">
        <v>87</v>
      </c>
    </row>
    <row r="40" spans="1:5" x14ac:dyDescent="0.35">
      <c r="A40" t="s">
        <v>85</v>
      </c>
      <c r="B40" t="s">
        <v>86</v>
      </c>
      <c r="C40" t="s">
        <v>7</v>
      </c>
      <c r="D40" t="s">
        <v>7</v>
      </c>
      <c r="E40" t="s">
        <v>88</v>
      </c>
    </row>
    <row r="41" spans="1:5" x14ac:dyDescent="0.35">
      <c r="A41" t="s">
        <v>89</v>
      </c>
      <c r="B41" t="s">
        <v>90</v>
      </c>
      <c r="C41" t="s">
        <v>7</v>
      </c>
      <c r="D41" t="s">
        <v>7</v>
      </c>
      <c r="E41" t="s">
        <v>91</v>
      </c>
    </row>
    <row r="42" spans="1:5" x14ac:dyDescent="0.35">
      <c r="A42" t="s">
        <v>89</v>
      </c>
      <c r="B42" t="s">
        <v>90</v>
      </c>
      <c r="C42" t="s">
        <v>7</v>
      </c>
      <c r="D42" t="s">
        <v>7</v>
      </c>
      <c r="E42" t="s">
        <v>92</v>
      </c>
    </row>
    <row r="43" spans="1:5" x14ac:dyDescent="0.35">
      <c r="A43" t="s">
        <v>93</v>
      </c>
      <c r="B43" t="s">
        <v>94</v>
      </c>
      <c r="C43" t="s">
        <v>7</v>
      </c>
      <c r="D43" t="s">
        <v>7</v>
      </c>
      <c r="E43" t="s">
        <v>95</v>
      </c>
    </row>
    <row r="44" spans="1:5" x14ac:dyDescent="0.35">
      <c r="A44" t="s">
        <v>93</v>
      </c>
      <c r="B44" t="s">
        <v>94</v>
      </c>
      <c r="C44" t="s">
        <v>7</v>
      </c>
      <c r="D44" t="s">
        <v>7</v>
      </c>
      <c r="E44" t="s">
        <v>96</v>
      </c>
    </row>
    <row r="45" spans="1:5" x14ac:dyDescent="0.35">
      <c r="A45" t="s">
        <v>97</v>
      </c>
      <c r="B45" t="s">
        <v>98</v>
      </c>
      <c r="C45" t="s">
        <v>7</v>
      </c>
      <c r="D45" t="s">
        <v>7</v>
      </c>
      <c r="E45" t="s">
        <v>99</v>
      </c>
    </row>
    <row r="46" spans="1:5" x14ac:dyDescent="0.35">
      <c r="A46" t="s">
        <v>97</v>
      </c>
      <c r="B46" t="s">
        <v>98</v>
      </c>
      <c r="C46" t="s">
        <v>7</v>
      </c>
      <c r="D46" t="s">
        <v>7</v>
      </c>
      <c r="E46" t="s">
        <v>100</v>
      </c>
    </row>
    <row r="47" spans="1:5" x14ac:dyDescent="0.35">
      <c r="A47" t="s">
        <v>101</v>
      </c>
      <c r="B47" t="s">
        <v>102</v>
      </c>
      <c r="C47" t="s">
        <v>7</v>
      </c>
      <c r="D47" t="s">
        <v>7</v>
      </c>
      <c r="E47" t="s">
        <v>103</v>
      </c>
    </row>
    <row r="48" spans="1:5" x14ac:dyDescent="0.35">
      <c r="A48" t="s">
        <v>101</v>
      </c>
      <c r="B48" t="s">
        <v>102</v>
      </c>
      <c r="C48" t="s">
        <v>7</v>
      </c>
      <c r="D48" t="s">
        <v>7</v>
      </c>
      <c r="E48" t="s">
        <v>104</v>
      </c>
    </row>
    <row r="49" spans="1:5" x14ac:dyDescent="0.35">
      <c r="A49" t="s">
        <v>105</v>
      </c>
      <c r="B49" t="s">
        <v>106</v>
      </c>
      <c r="C49" t="s">
        <v>7</v>
      </c>
      <c r="D49" t="s">
        <v>7</v>
      </c>
      <c r="E49" t="s">
        <v>107</v>
      </c>
    </row>
    <row r="50" spans="1:5" x14ac:dyDescent="0.35">
      <c r="A50" t="s">
        <v>105</v>
      </c>
      <c r="B50" t="s">
        <v>106</v>
      </c>
      <c r="C50" t="s">
        <v>7</v>
      </c>
      <c r="D50" t="s">
        <v>7</v>
      </c>
      <c r="E50" t="s">
        <v>108</v>
      </c>
    </row>
    <row r="51" spans="1:5" x14ac:dyDescent="0.35">
      <c r="A51" t="s">
        <v>24</v>
      </c>
      <c r="B51" t="s">
        <v>25</v>
      </c>
      <c r="C51" t="s">
        <v>7</v>
      </c>
      <c r="D51" t="s">
        <v>7</v>
      </c>
      <c r="E51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BE6-C007-4E5B-8235-B12C0F8F04C8}">
  <dimension ref="A1:J51"/>
  <sheetViews>
    <sheetView workbookViewId="0">
      <selection activeCell="G2" sqref="G2"/>
    </sheetView>
  </sheetViews>
  <sheetFormatPr defaultRowHeight="14.5" x14ac:dyDescent="0.35"/>
  <cols>
    <col min="1" max="1" width="65.7265625" bestFit="1" customWidth="1"/>
    <col min="2" max="2" width="8" bestFit="1" customWidth="1"/>
    <col min="3" max="3" width="16.7265625" bestFit="1" customWidth="1"/>
    <col min="4" max="4" width="13.36328125" bestFit="1" customWidth="1"/>
    <col min="5" max="5" width="12.36328125" customWidth="1"/>
    <col min="6" max="6" width="17.54296875" customWidth="1"/>
    <col min="7" max="7" width="21.26953125" customWidth="1"/>
    <col min="8" max="8" width="26.6328125" customWidth="1"/>
    <col min="10" max="10" width="26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110</v>
      </c>
      <c r="G1" s="1" t="s">
        <v>111</v>
      </c>
      <c r="H1" s="1" t="s">
        <v>112</v>
      </c>
    </row>
    <row r="2" spans="1:10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  <c r="F2" s="2">
        <f>LEN(main3[[#This Row],[SKU]])</f>
        <v>6</v>
      </c>
      <c r="G2" s="2">
        <f>IF(RIGHT(main3[[#This Row],[SKU]],2) = "01", 1, 0)</f>
        <v>1</v>
      </c>
      <c r="H2" s="2" t="str">
        <f t="shared" ref="H2:H33" si="0">IF(ISNUMBER(SEARCH("reviewdisplay", E2)), "duplicate", "clean")</f>
        <v>clean</v>
      </c>
      <c r="J2" s="20" t="s">
        <v>126</v>
      </c>
    </row>
    <row r="3" spans="1:10" x14ac:dyDescent="0.35">
      <c r="A3" t="s">
        <v>9</v>
      </c>
      <c r="B3" t="s">
        <v>10</v>
      </c>
      <c r="C3" t="s">
        <v>7</v>
      </c>
      <c r="D3" t="s">
        <v>7</v>
      </c>
      <c r="E3" t="s">
        <v>11</v>
      </c>
      <c r="F3">
        <f>LEN(main3[[#This Row],[SKU]])</f>
        <v>6</v>
      </c>
      <c r="G3">
        <f>IF(RIGHT(main3[[#This Row],[SKU]],2) = "01", 1, 0)</f>
        <v>0</v>
      </c>
      <c r="H3" t="str">
        <f t="shared" si="0"/>
        <v>clean</v>
      </c>
      <c r="J3" s="20"/>
    </row>
    <row r="4" spans="1:10" x14ac:dyDescent="0.35">
      <c r="A4" t="s">
        <v>12</v>
      </c>
      <c r="B4" t="s">
        <v>13</v>
      </c>
      <c r="C4" t="s">
        <v>7</v>
      </c>
      <c r="D4" t="s">
        <v>7</v>
      </c>
      <c r="E4" t="s">
        <v>14</v>
      </c>
      <c r="F4">
        <f>LEN(main3[[#This Row],[SKU]])</f>
        <v>6</v>
      </c>
      <c r="G4">
        <f>IF(RIGHT(main3[[#This Row],[SKU]],2) = "01", 1, 0)</f>
        <v>1</v>
      </c>
      <c r="H4" t="str">
        <f t="shared" si="0"/>
        <v>clean</v>
      </c>
      <c r="J4" s="20"/>
    </row>
    <row r="5" spans="1:10" x14ac:dyDescent="0.35">
      <c r="A5" t="s">
        <v>15</v>
      </c>
      <c r="B5" t="s">
        <v>16</v>
      </c>
      <c r="C5" t="s">
        <v>7</v>
      </c>
      <c r="D5" t="s">
        <v>7</v>
      </c>
      <c r="E5" t="s">
        <v>17</v>
      </c>
      <c r="F5">
        <f>LEN(main3[[#This Row],[SKU]])</f>
        <v>6</v>
      </c>
      <c r="G5">
        <f>IF(RIGHT(main3[[#This Row],[SKU]],2) = "01", 1, 0)</f>
        <v>0</v>
      </c>
      <c r="H5" t="str">
        <f t="shared" si="0"/>
        <v>clean</v>
      </c>
      <c r="J5" s="20"/>
    </row>
    <row r="6" spans="1:10" x14ac:dyDescent="0.35">
      <c r="A6" t="s">
        <v>18</v>
      </c>
      <c r="B6" t="s">
        <v>19</v>
      </c>
      <c r="C6" t="s">
        <v>7</v>
      </c>
      <c r="D6" t="s">
        <v>7</v>
      </c>
      <c r="E6" t="s">
        <v>20</v>
      </c>
      <c r="F6">
        <f>LEN(main3[[#This Row],[SKU]])</f>
        <v>6</v>
      </c>
      <c r="G6">
        <f>IF(RIGHT(main3[[#This Row],[SKU]],2) = "01", 1, 0)</f>
        <v>1</v>
      </c>
      <c r="H6" t="str">
        <f t="shared" si="0"/>
        <v>clean</v>
      </c>
      <c r="J6" s="20"/>
    </row>
    <row r="7" spans="1:10" x14ac:dyDescent="0.35">
      <c r="A7" t="s">
        <v>21</v>
      </c>
      <c r="B7" t="s">
        <v>22</v>
      </c>
      <c r="C7" t="s">
        <v>7</v>
      </c>
      <c r="D7" t="s">
        <v>7</v>
      </c>
      <c r="E7" t="s">
        <v>23</v>
      </c>
      <c r="F7">
        <f>LEN(main3[[#This Row],[SKU]])</f>
        <v>6</v>
      </c>
      <c r="G7">
        <f>IF(RIGHT(main3[[#This Row],[SKU]],2) = "01", 1, 0)</f>
        <v>1</v>
      </c>
      <c r="H7" t="str">
        <f t="shared" si="0"/>
        <v>clean</v>
      </c>
    </row>
    <row r="8" spans="1:10" x14ac:dyDescent="0.35">
      <c r="A8" t="s">
        <v>24</v>
      </c>
      <c r="B8" t="s">
        <v>25</v>
      </c>
      <c r="C8" t="s">
        <v>7</v>
      </c>
      <c r="D8" t="s">
        <v>7</v>
      </c>
      <c r="E8" t="s">
        <v>26</v>
      </c>
      <c r="F8">
        <f>LEN(main3[[#This Row],[SKU]])</f>
        <v>6</v>
      </c>
      <c r="G8">
        <f>IF(RIGHT(main3[[#This Row],[SKU]],2) = "01", 1, 0)</f>
        <v>1</v>
      </c>
      <c r="H8" t="str">
        <f t="shared" si="0"/>
        <v>clean</v>
      </c>
    </row>
    <row r="9" spans="1:10" x14ac:dyDescent="0.35">
      <c r="A9" t="s">
        <v>24</v>
      </c>
      <c r="B9" t="s">
        <v>25</v>
      </c>
      <c r="C9" t="s">
        <v>7</v>
      </c>
      <c r="D9" t="s">
        <v>7</v>
      </c>
      <c r="E9" t="s">
        <v>27</v>
      </c>
      <c r="F9">
        <f>LEN(main3[[#This Row],[SKU]])</f>
        <v>6</v>
      </c>
      <c r="G9">
        <f>IF(RIGHT(main3[[#This Row],[SKU]],2) = "01", 1, 0)</f>
        <v>1</v>
      </c>
      <c r="H9" t="str">
        <f t="shared" si="0"/>
        <v>duplicate</v>
      </c>
      <c r="J9" s="2" t="s">
        <v>113</v>
      </c>
    </row>
    <row r="10" spans="1:10" x14ac:dyDescent="0.35">
      <c r="A10" t="s">
        <v>28</v>
      </c>
      <c r="B10" t="s">
        <v>29</v>
      </c>
      <c r="C10" t="s">
        <v>7</v>
      </c>
      <c r="D10" t="s">
        <v>7</v>
      </c>
      <c r="E10" t="s">
        <v>30</v>
      </c>
      <c r="F10">
        <f>LEN(main3[[#This Row],[SKU]])</f>
        <v>6</v>
      </c>
      <c r="G10">
        <f>IF(RIGHT(main3[[#This Row],[SKU]],2) = "01", 1, 0)</f>
        <v>1</v>
      </c>
      <c r="H10" t="str">
        <f t="shared" si="0"/>
        <v>clean</v>
      </c>
    </row>
    <row r="11" spans="1:10" x14ac:dyDescent="0.35">
      <c r="A11" t="s">
        <v>28</v>
      </c>
      <c r="B11" t="s">
        <v>29</v>
      </c>
      <c r="C11" t="s">
        <v>7</v>
      </c>
      <c r="D11" t="s">
        <v>7</v>
      </c>
      <c r="E11" t="s">
        <v>31</v>
      </c>
      <c r="F11">
        <f>LEN(main3[[#This Row],[SKU]])</f>
        <v>6</v>
      </c>
      <c r="G11">
        <f>IF(RIGHT(main3[[#This Row],[SKU]],2) = "01", 1, 0)</f>
        <v>1</v>
      </c>
      <c r="H11" t="str">
        <f t="shared" si="0"/>
        <v>duplicate</v>
      </c>
    </row>
    <row r="12" spans="1:10" x14ac:dyDescent="0.35">
      <c r="A12" t="s">
        <v>32</v>
      </c>
      <c r="B12" t="s">
        <v>33</v>
      </c>
      <c r="C12" t="s">
        <v>7</v>
      </c>
      <c r="D12" t="s">
        <v>7</v>
      </c>
      <c r="E12" t="s">
        <v>34</v>
      </c>
      <c r="F12">
        <f>LEN(main3[[#This Row],[SKU]])</f>
        <v>6</v>
      </c>
      <c r="G12">
        <f>IF(RIGHT(main3[[#This Row],[SKU]],2) = "01", 1, 0)</f>
        <v>1</v>
      </c>
      <c r="H12" t="str">
        <f t="shared" si="0"/>
        <v>clean</v>
      </c>
    </row>
    <row r="13" spans="1:10" x14ac:dyDescent="0.35">
      <c r="A13" t="s">
        <v>32</v>
      </c>
      <c r="B13" t="s">
        <v>33</v>
      </c>
      <c r="C13" t="s">
        <v>7</v>
      </c>
      <c r="D13" t="s">
        <v>7</v>
      </c>
      <c r="E13" t="s">
        <v>35</v>
      </c>
      <c r="F13">
        <f>LEN(main3[[#This Row],[SKU]])</f>
        <v>6</v>
      </c>
      <c r="G13">
        <f>IF(RIGHT(main3[[#This Row],[SKU]],2) = "01", 1, 0)</f>
        <v>1</v>
      </c>
      <c r="H13" t="str">
        <f t="shared" si="0"/>
        <v>duplicate</v>
      </c>
    </row>
    <row r="14" spans="1:10" x14ac:dyDescent="0.35">
      <c r="A14" t="s">
        <v>36</v>
      </c>
      <c r="B14" t="s">
        <v>37</v>
      </c>
      <c r="C14" t="s">
        <v>7</v>
      </c>
      <c r="D14" t="s">
        <v>7</v>
      </c>
      <c r="E14" t="s">
        <v>38</v>
      </c>
      <c r="F14">
        <f>LEN(main3[[#This Row],[SKU]])</f>
        <v>6</v>
      </c>
      <c r="G14">
        <f>IF(RIGHT(main3[[#This Row],[SKU]],2) = "01", 1, 0)</f>
        <v>1</v>
      </c>
      <c r="H14" t="str">
        <f t="shared" si="0"/>
        <v>clean</v>
      </c>
    </row>
    <row r="15" spans="1:10" x14ac:dyDescent="0.35">
      <c r="A15" t="s">
        <v>36</v>
      </c>
      <c r="B15" t="s">
        <v>37</v>
      </c>
      <c r="C15" t="s">
        <v>7</v>
      </c>
      <c r="D15" t="s">
        <v>7</v>
      </c>
      <c r="E15" t="s">
        <v>39</v>
      </c>
      <c r="F15">
        <f>LEN(main3[[#This Row],[SKU]])</f>
        <v>6</v>
      </c>
      <c r="G15">
        <f>IF(RIGHT(main3[[#This Row],[SKU]],2) = "01", 1, 0)</f>
        <v>1</v>
      </c>
      <c r="H15" t="str">
        <f t="shared" si="0"/>
        <v>duplicate</v>
      </c>
    </row>
    <row r="16" spans="1:10" x14ac:dyDescent="0.35">
      <c r="A16" t="s">
        <v>40</v>
      </c>
      <c r="B16" t="s">
        <v>41</v>
      </c>
      <c r="C16" t="s">
        <v>7</v>
      </c>
      <c r="D16" t="s">
        <v>7</v>
      </c>
      <c r="E16" t="s">
        <v>42</v>
      </c>
      <c r="F16">
        <f>LEN(main3[[#This Row],[SKU]])</f>
        <v>6</v>
      </c>
      <c r="G16">
        <f>IF(RIGHT(main3[[#This Row],[SKU]],2) = "01", 1, 0)</f>
        <v>1</v>
      </c>
      <c r="H16" t="str">
        <f t="shared" si="0"/>
        <v>clean</v>
      </c>
    </row>
    <row r="17" spans="1:8" x14ac:dyDescent="0.35">
      <c r="A17" t="s">
        <v>40</v>
      </c>
      <c r="B17" t="s">
        <v>41</v>
      </c>
      <c r="C17" t="s">
        <v>7</v>
      </c>
      <c r="D17" t="s">
        <v>7</v>
      </c>
      <c r="E17" t="s">
        <v>43</v>
      </c>
      <c r="F17">
        <f>LEN(main3[[#This Row],[SKU]])</f>
        <v>6</v>
      </c>
      <c r="G17">
        <f>IF(RIGHT(main3[[#This Row],[SKU]],2) = "01", 1, 0)</f>
        <v>1</v>
      </c>
      <c r="H17" t="str">
        <f t="shared" si="0"/>
        <v>duplicate</v>
      </c>
    </row>
    <row r="18" spans="1:8" x14ac:dyDescent="0.35">
      <c r="A18" t="s">
        <v>44</v>
      </c>
      <c r="B18" t="s">
        <v>45</v>
      </c>
      <c r="C18" t="s">
        <v>7</v>
      </c>
      <c r="D18" t="s">
        <v>7</v>
      </c>
      <c r="E18" t="s">
        <v>46</v>
      </c>
      <c r="F18">
        <f>LEN(main3[[#This Row],[SKU]])</f>
        <v>6</v>
      </c>
      <c r="G18">
        <f>IF(RIGHT(main3[[#This Row],[SKU]],2) = "01", 1, 0)</f>
        <v>1</v>
      </c>
      <c r="H18" t="str">
        <f t="shared" si="0"/>
        <v>clean</v>
      </c>
    </row>
    <row r="19" spans="1:8" x14ac:dyDescent="0.35">
      <c r="A19" t="s">
        <v>44</v>
      </c>
      <c r="B19" t="s">
        <v>45</v>
      </c>
      <c r="C19" t="s">
        <v>7</v>
      </c>
      <c r="D19" t="s">
        <v>7</v>
      </c>
      <c r="E19" t="s">
        <v>47</v>
      </c>
      <c r="F19">
        <f>LEN(main3[[#This Row],[SKU]])</f>
        <v>6</v>
      </c>
      <c r="G19">
        <f>IF(RIGHT(main3[[#This Row],[SKU]],2) = "01", 1, 0)</f>
        <v>1</v>
      </c>
      <c r="H19" t="str">
        <f t="shared" si="0"/>
        <v>duplicate</v>
      </c>
    </row>
    <row r="20" spans="1:8" x14ac:dyDescent="0.35">
      <c r="A20" t="s">
        <v>48</v>
      </c>
      <c r="B20" t="s">
        <v>49</v>
      </c>
      <c r="C20" t="s">
        <v>7</v>
      </c>
      <c r="D20" t="s">
        <v>7</v>
      </c>
      <c r="E20" t="s">
        <v>50</v>
      </c>
      <c r="F20">
        <f>LEN(main3[[#This Row],[SKU]])</f>
        <v>6</v>
      </c>
      <c r="G20">
        <f>IF(RIGHT(main3[[#This Row],[SKU]],2) = "01", 1, 0)</f>
        <v>1</v>
      </c>
      <c r="H20" t="str">
        <f t="shared" si="0"/>
        <v>clean</v>
      </c>
    </row>
    <row r="21" spans="1:8" x14ac:dyDescent="0.35">
      <c r="A21" t="s">
        <v>48</v>
      </c>
      <c r="B21" t="s">
        <v>49</v>
      </c>
      <c r="C21" t="s">
        <v>7</v>
      </c>
      <c r="D21" t="s">
        <v>7</v>
      </c>
      <c r="E21" t="s">
        <v>51</v>
      </c>
      <c r="F21">
        <f>LEN(main3[[#This Row],[SKU]])</f>
        <v>6</v>
      </c>
      <c r="G21">
        <f>IF(RIGHT(main3[[#This Row],[SKU]],2) = "01", 1, 0)</f>
        <v>1</v>
      </c>
      <c r="H21" t="str">
        <f t="shared" si="0"/>
        <v>duplicate</v>
      </c>
    </row>
    <row r="22" spans="1:8" x14ac:dyDescent="0.35">
      <c r="A22" t="s">
        <v>52</v>
      </c>
      <c r="B22" t="s">
        <v>53</v>
      </c>
      <c r="C22" t="s">
        <v>7</v>
      </c>
      <c r="D22" t="s">
        <v>7</v>
      </c>
      <c r="E22" t="s">
        <v>54</v>
      </c>
      <c r="F22">
        <f>LEN(main3[[#This Row],[SKU]])</f>
        <v>6</v>
      </c>
      <c r="G22">
        <f>IF(RIGHT(main3[[#This Row],[SKU]],2) = "01", 1, 0)</f>
        <v>1</v>
      </c>
      <c r="H22" t="str">
        <f t="shared" si="0"/>
        <v>clean</v>
      </c>
    </row>
    <row r="23" spans="1:8" x14ac:dyDescent="0.35">
      <c r="A23" t="s">
        <v>52</v>
      </c>
      <c r="B23" t="s">
        <v>53</v>
      </c>
      <c r="C23" t="s">
        <v>7</v>
      </c>
      <c r="D23" t="s">
        <v>7</v>
      </c>
      <c r="E23" t="s">
        <v>55</v>
      </c>
      <c r="F23">
        <f>LEN(main3[[#This Row],[SKU]])</f>
        <v>6</v>
      </c>
      <c r="G23">
        <f>IF(RIGHT(main3[[#This Row],[SKU]],2) = "01", 1, 0)</f>
        <v>1</v>
      </c>
      <c r="H23" t="str">
        <f t="shared" si="0"/>
        <v>duplicate</v>
      </c>
    </row>
    <row r="24" spans="1:8" x14ac:dyDescent="0.35">
      <c r="A24" t="s">
        <v>56</v>
      </c>
      <c r="B24" t="s">
        <v>57</v>
      </c>
      <c r="C24" t="s">
        <v>7</v>
      </c>
      <c r="D24" t="s">
        <v>7</v>
      </c>
      <c r="E24" t="s">
        <v>58</v>
      </c>
      <c r="F24">
        <f>LEN(main3[[#This Row],[SKU]])</f>
        <v>6</v>
      </c>
      <c r="G24">
        <f>IF(RIGHT(main3[[#This Row],[SKU]],2) = "01", 1, 0)</f>
        <v>1</v>
      </c>
      <c r="H24" t="str">
        <f t="shared" si="0"/>
        <v>clean</v>
      </c>
    </row>
    <row r="25" spans="1:8" x14ac:dyDescent="0.35">
      <c r="A25" t="s">
        <v>56</v>
      </c>
      <c r="B25" t="s">
        <v>57</v>
      </c>
      <c r="C25" t="s">
        <v>7</v>
      </c>
      <c r="D25" t="s">
        <v>7</v>
      </c>
      <c r="E25" t="s">
        <v>59</v>
      </c>
      <c r="F25">
        <f>LEN(main3[[#This Row],[SKU]])</f>
        <v>6</v>
      </c>
      <c r="G25">
        <f>IF(RIGHT(main3[[#This Row],[SKU]],2) = "01", 1, 0)</f>
        <v>1</v>
      </c>
      <c r="H25" t="str">
        <f t="shared" si="0"/>
        <v>duplicate</v>
      </c>
    </row>
    <row r="26" spans="1:8" x14ac:dyDescent="0.35">
      <c r="A26" t="s">
        <v>60</v>
      </c>
      <c r="B26" t="s">
        <v>61</v>
      </c>
      <c r="C26" t="s">
        <v>7</v>
      </c>
      <c r="D26" t="s">
        <v>7</v>
      </c>
      <c r="E26" t="s">
        <v>62</v>
      </c>
      <c r="F26">
        <f>LEN(main3[[#This Row],[SKU]])</f>
        <v>6</v>
      </c>
      <c r="G26">
        <f>IF(RIGHT(main3[[#This Row],[SKU]],2) = "01", 1, 0)</f>
        <v>1</v>
      </c>
      <c r="H26" t="str">
        <f t="shared" si="0"/>
        <v>clean</v>
      </c>
    </row>
    <row r="27" spans="1:8" x14ac:dyDescent="0.35">
      <c r="A27" t="s">
        <v>60</v>
      </c>
      <c r="B27" t="s">
        <v>61</v>
      </c>
      <c r="C27" t="s">
        <v>7</v>
      </c>
      <c r="D27" t="s">
        <v>7</v>
      </c>
      <c r="E27" t="s">
        <v>63</v>
      </c>
      <c r="F27">
        <f>LEN(main3[[#This Row],[SKU]])</f>
        <v>6</v>
      </c>
      <c r="G27">
        <f>IF(RIGHT(main3[[#This Row],[SKU]],2) = "01", 1, 0)</f>
        <v>1</v>
      </c>
      <c r="H27" t="str">
        <f t="shared" si="0"/>
        <v>duplicate</v>
      </c>
    </row>
    <row r="28" spans="1:8" x14ac:dyDescent="0.35">
      <c r="A28" t="s">
        <v>12</v>
      </c>
      <c r="B28" t="s">
        <v>13</v>
      </c>
      <c r="C28" t="s">
        <v>7</v>
      </c>
      <c r="D28" t="s">
        <v>7</v>
      </c>
      <c r="E28" t="s">
        <v>64</v>
      </c>
      <c r="F28">
        <f>LEN(main3[[#This Row],[SKU]])</f>
        <v>6</v>
      </c>
      <c r="G28">
        <f>IF(RIGHT(main3[[#This Row],[SKU]],2) = "01", 1, 0)</f>
        <v>1</v>
      </c>
      <c r="H28" t="str">
        <f t="shared" si="0"/>
        <v>duplicate</v>
      </c>
    </row>
    <row r="29" spans="1:8" x14ac:dyDescent="0.35">
      <c r="A29" t="s">
        <v>65</v>
      </c>
      <c r="B29" t="s">
        <v>66</v>
      </c>
      <c r="C29" t="s">
        <v>7</v>
      </c>
      <c r="D29" t="s">
        <v>7</v>
      </c>
      <c r="E29" t="s">
        <v>67</v>
      </c>
      <c r="F29">
        <f>LEN(main3[[#This Row],[SKU]])</f>
        <v>6</v>
      </c>
      <c r="G29">
        <f>IF(RIGHT(main3[[#This Row],[SKU]],2) = "01", 1, 0)</f>
        <v>1</v>
      </c>
      <c r="H29" t="str">
        <f t="shared" si="0"/>
        <v>clean</v>
      </c>
    </row>
    <row r="30" spans="1:8" x14ac:dyDescent="0.35">
      <c r="A30" t="s">
        <v>65</v>
      </c>
      <c r="B30" t="s">
        <v>66</v>
      </c>
      <c r="C30" t="s">
        <v>7</v>
      </c>
      <c r="D30" t="s">
        <v>7</v>
      </c>
      <c r="E30" t="s">
        <v>68</v>
      </c>
      <c r="F30">
        <f>LEN(main3[[#This Row],[SKU]])</f>
        <v>6</v>
      </c>
      <c r="G30">
        <f>IF(RIGHT(main3[[#This Row],[SKU]],2) = "01", 1, 0)</f>
        <v>1</v>
      </c>
      <c r="H30" t="str">
        <f t="shared" si="0"/>
        <v>duplicate</v>
      </c>
    </row>
    <row r="31" spans="1:8" x14ac:dyDescent="0.35">
      <c r="A31" t="s">
        <v>69</v>
      </c>
      <c r="B31" t="s">
        <v>70</v>
      </c>
      <c r="C31" t="s">
        <v>7</v>
      </c>
      <c r="D31" t="s">
        <v>7</v>
      </c>
      <c r="E31" t="s">
        <v>71</v>
      </c>
      <c r="F31">
        <f>LEN(main3[[#This Row],[SKU]])</f>
        <v>6</v>
      </c>
      <c r="G31">
        <f>IF(RIGHT(main3[[#This Row],[SKU]],2) = "01", 1, 0)</f>
        <v>1</v>
      </c>
      <c r="H31" t="str">
        <f t="shared" si="0"/>
        <v>clean</v>
      </c>
    </row>
    <row r="32" spans="1:8" x14ac:dyDescent="0.35">
      <c r="A32" t="s">
        <v>69</v>
      </c>
      <c r="B32" t="s">
        <v>70</v>
      </c>
      <c r="C32" t="s">
        <v>7</v>
      </c>
      <c r="D32" t="s">
        <v>7</v>
      </c>
      <c r="E32" t="s">
        <v>72</v>
      </c>
      <c r="F32">
        <f>LEN(main3[[#This Row],[SKU]])</f>
        <v>6</v>
      </c>
      <c r="G32">
        <f>IF(RIGHT(main3[[#This Row],[SKU]],2) = "01", 1, 0)</f>
        <v>1</v>
      </c>
      <c r="H32" t="str">
        <f t="shared" si="0"/>
        <v>duplicate</v>
      </c>
    </row>
    <row r="33" spans="1:8" x14ac:dyDescent="0.35">
      <c r="A33" t="s">
        <v>73</v>
      </c>
      <c r="B33" t="s">
        <v>74</v>
      </c>
      <c r="C33" t="s">
        <v>7</v>
      </c>
      <c r="D33" t="s">
        <v>7</v>
      </c>
      <c r="E33" t="s">
        <v>75</v>
      </c>
      <c r="F33">
        <f>LEN(main3[[#This Row],[SKU]])</f>
        <v>6</v>
      </c>
      <c r="G33">
        <f>IF(RIGHT(main3[[#This Row],[SKU]],2) = "01", 1, 0)</f>
        <v>1</v>
      </c>
      <c r="H33" t="str">
        <f t="shared" si="0"/>
        <v>clean</v>
      </c>
    </row>
    <row r="34" spans="1:8" x14ac:dyDescent="0.35">
      <c r="A34" t="s">
        <v>73</v>
      </c>
      <c r="B34" t="s">
        <v>74</v>
      </c>
      <c r="C34" t="s">
        <v>7</v>
      </c>
      <c r="D34" t="s">
        <v>7</v>
      </c>
      <c r="E34" t="s">
        <v>76</v>
      </c>
      <c r="F34">
        <f>LEN(main3[[#This Row],[SKU]])</f>
        <v>6</v>
      </c>
      <c r="G34">
        <f>IF(RIGHT(main3[[#This Row],[SKU]],2) = "01", 1, 0)</f>
        <v>1</v>
      </c>
      <c r="H34" t="str">
        <f t="shared" ref="H34:H51" si="1">IF(ISNUMBER(SEARCH("reviewdisplay", E34)), "duplicate", "clean")</f>
        <v>duplicate</v>
      </c>
    </row>
    <row r="35" spans="1:8" x14ac:dyDescent="0.35">
      <c r="A35" t="s">
        <v>77</v>
      </c>
      <c r="B35" t="s">
        <v>78</v>
      </c>
      <c r="C35" t="s">
        <v>7</v>
      </c>
      <c r="D35" t="s">
        <v>7</v>
      </c>
      <c r="E35" t="s">
        <v>79</v>
      </c>
      <c r="F35">
        <f>LEN(main3[[#This Row],[SKU]])</f>
        <v>6</v>
      </c>
      <c r="G35">
        <f>IF(RIGHT(main3[[#This Row],[SKU]],2) = "01", 1, 0)</f>
        <v>1</v>
      </c>
      <c r="H35" t="str">
        <f t="shared" si="1"/>
        <v>clean</v>
      </c>
    </row>
    <row r="36" spans="1:8" x14ac:dyDescent="0.35">
      <c r="A36" t="s">
        <v>77</v>
      </c>
      <c r="B36" t="s">
        <v>78</v>
      </c>
      <c r="C36" t="s">
        <v>7</v>
      </c>
      <c r="D36" t="s">
        <v>7</v>
      </c>
      <c r="E36" t="s">
        <v>80</v>
      </c>
      <c r="F36">
        <f>LEN(main3[[#This Row],[SKU]])</f>
        <v>6</v>
      </c>
      <c r="G36">
        <f>IF(RIGHT(main3[[#This Row],[SKU]],2) = "01", 1, 0)</f>
        <v>1</v>
      </c>
      <c r="H36" t="str">
        <f t="shared" si="1"/>
        <v>duplicate</v>
      </c>
    </row>
    <row r="37" spans="1:8" x14ac:dyDescent="0.35">
      <c r="A37" t="s">
        <v>81</v>
      </c>
      <c r="B37" t="s">
        <v>82</v>
      </c>
      <c r="C37" t="s">
        <v>7</v>
      </c>
      <c r="D37" t="s">
        <v>7</v>
      </c>
      <c r="E37" t="s">
        <v>83</v>
      </c>
      <c r="F37">
        <f>LEN(main3[[#This Row],[SKU]])</f>
        <v>6</v>
      </c>
      <c r="G37">
        <f>IF(RIGHT(main3[[#This Row],[SKU]],2) = "01", 1, 0)</f>
        <v>1</v>
      </c>
      <c r="H37" t="str">
        <f t="shared" si="1"/>
        <v>clean</v>
      </c>
    </row>
    <row r="38" spans="1:8" x14ac:dyDescent="0.35">
      <c r="A38" t="s">
        <v>81</v>
      </c>
      <c r="B38" t="s">
        <v>82</v>
      </c>
      <c r="C38" t="s">
        <v>7</v>
      </c>
      <c r="D38" t="s">
        <v>7</v>
      </c>
      <c r="E38" t="s">
        <v>84</v>
      </c>
      <c r="F38">
        <f>LEN(main3[[#This Row],[SKU]])</f>
        <v>6</v>
      </c>
      <c r="G38">
        <f>IF(RIGHT(main3[[#This Row],[SKU]],2) = "01", 1, 0)</f>
        <v>1</v>
      </c>
      <c r="H38" t="str">
        <f t="shared" si="1"/>
        <v>duplicate</v>
      </c>
    </row>
    <row r="39" spans="1:8" x14ac:dyDescent="0.35">
      <c r="A39" t="s">
        <v>85</v>
      </c>
      <c r="B39" t="s">
        <v>86</v>
      </c>
      <c r="C39" t="s">
        <v>7</v>
      </c>
      <c r="D39" t="s">
        <v>7</v>
      </c>
      <c r="E39" t="s">
        <v>87</v>
      </c>
      <c r="F39">
        <f>LEN(main3[[#This Row],[SKU]])</f>
        <v>6</v>
      </c>
      <c r="G39">
        <f>IF(RIGHT(main3[[#This Row],[SKU]],2) = "01", 1, 0)</f>
        <v>1</v>
      </c>
      <c r="H39" t="str">
        <f t="shared" si="1"/>
        <v>clean</v>
      </c>
    </row>
    <row r="40" spans="1:8" x14ac:dyDescent="0.35">
      <c r="A40" t="s">
        <v>85</v>
      </c>
      <c r="B40" t="s">
        <v>86</v>
      </c>
      <c r="C40" t="s">
        <v>7</v>
      </c>
      <c r="D40" t="s">
        <v>7</v>
      </c>
      <c r="E40" t="s">
        <v>88</v>
      </c>
      <c r="F40">
        <f>LEN(main3[[#This Row],[SKU]])</f>
        <v>6</v>
      </c>
      <c r="G40">
        <f>IF(RIGHT(main3[[#This Row],[SKU]],2) = "01", 1, 0)</f>
        <v>1</v>
      </c>
      <c r="H40" t="str">
        <f t="shared" si="1"/>
        <v>duplicate</v>
      </c>
    </row>
    <row r="41" spans="1:8" x14ac:dyDescent="0.35">
      <c r="A41" t="s">
        <v>89</v>
      </c>
      <c r="B41" t="s">
        <v>90</v>
      </c>
      <c r="C41" t="s">
        <v>7</v>
      </c>
      <c r="D41" t="s">
        <v>7</v>
      </c>
      <c r="E41" t="s">
        <v>91</v>
      </c>
      <c r="F41">
        <f>LEN(main3[[#This Row],[SKU]])</f>
        <v>6</v>
      </c>
      <c r="G41">
        <f>IF(RIGHT(main3[[#This Row],[SKU]],2) = "01", 1, 0)</f>
        <v>1</v>
      </c>
      <c r="H41" t="str">
        <f t="shared" si="1"/>
        <v>clean</v>
      </c>
    </row>
    <row r="42" spans="1:8" x14ac:dyDescent="0.35">
      <c r="A42" t="s">
        <v>89</v>
      </c>
      <c r="B42" t="s">
        <v>90</v>
      </c>
      <c r="C42" t="s">
        <v>7</v>
      </c>
      <c r="D42" t="s">
        <v>7</v>
      </c>
      <c r="E42" t="s">
        <v>92</v>
      </c>
      <c r="F42">
        <f>LEN(main3[[#This Row],[SKU]])</f>
        <v>6</v>
      </c>
      <c r="G42">
        <f>IF(RIGHT(main3[[#This Row],[SKU]],2) = "01", 1, 0)</f>
        <v>1</v>
      </c>
      <c r="H42" t="str">
        <f t="shared" si="1"/>
        <v>duplicate</v>
      </c>
    </row>
    <row r="43" spans="1:8" x14ac:dyDescent="0.35">
      <c r="A43" t="s">
        <v>93</v>
      </c>
      <c r="B43" t="s">
        <v>94</v>
      </c>
      <c r="C43" t="s">
        <v>7</v>
      </c>
      <c r="D43" t="s">
        <v>7</v>
      </c>
      <c r="E43" t="s">
        <v>95</v>
      </c>
      <c r="F43">
        <f>LEN(main3[[#This Row],[SKU]])</f>
        <v>6</v>
      </c>
      <c r="G43">
        <f>IF(RIGHT(main3[[#This Row],[SKU]],2) = "01", 1, 0)</f>
        <v>1</v>
      </c>
      <c r="H43" t="str">
        <f t="shared" si="1"/>
        <v>clean</v>
      </c>
    </row>
    <row r="44" spans="1:8" x14ac:dyDescent="0.35">
      <c r="A44" t="s">
        <v>93</v>
      </c>
      <c r="B44" t="s">
        <v>94</v>
      </c>
      <c r="C44" t="s">
        <v>7</v>
      </c>
      <c r="D44" t="s">
        <v>7</v>
      </c>
      <c r="E44" t="s">
        <v>96</v>
      </c>
      <c r="F44">
        <f>LEN(main3[[#This Row],[SKU]])</f>
        <v>6</v>
      </c>
      <c r="G44">
        <f>IF(RIGHT(main3[[#This Row],[SKU]],2) = "01", 1, 0)</f>
        <v>1</v>
      </c>
      <c r="H44" t="str">
        <f t="shared" si="1"/>
        <v>duplicate</v>
      </c>
    </row>
    <row r="45" spans="1:8" x14ac:dyDescent="0.35">
      <c r="A45" t="s">
        <v>97</v>
      </c>
      <c r="B45" t="s">
        <v>98</v>
      </c>
      <c r="C45" t="s">
        <v>7</v>
      </c>
      <c r="D45" t="s">
        <v>7</v>
      </c>
      <c r="E45" t="s">
        <v>99</v>
      </c>
      <c r="F45">
        <f>LEN(main3[[#This Row],[SKU]])</f>
        <v>6</v>
      </c>
      <c r="G45">
        <f>IF(RIGHT(main3[[#This Row],[SKU]],2) = "01", 1, 0)</f>
        <v>1</v>
      </c>
      <c r="H45" t="str">
        <f t="shared" si="1"/>
        <v>clean</v>
      </c>
    </row>
    <row r="46" spans="1:8" x14ac:dyDescent="0.35">
      <c r="A46" t="s">
        <v>97</v>
      </c>
      <c r="B46" t="s">
        <v>98</v>
      </c>
      <c r="C46" t="s">
        <v>7</v>
      </c>
      <c r="D46" t="s">
        <v>7</v>
      </c>
      <c r="E46" t="s">
        <v>100</v>
      </c>
      <c r="F46">
        <f>LEN(main3[[#This Row],[SKU]])</f>
        <v>6</v>
      </c>
      <c r="G46">
        <f>IF(RIGHT(main3[[#This Row],[SKU]],2) = "01", 1, 0)</f>
        <v>1</v>
      </c>
      <c r="H46" t="str">
        <f t="shared" si="1"/>
        <v>duplicate</v>
      </c>
    </row>
    <row r="47" spans="1:8" x14ac:dyDescent="0.35">
      <c r="A47" t="s">
        <v>101</v>
      </c>
      <c r="B47" t="s">
        <v>102</v>
      </c>
      <c r="C47" t="s">
        <v>7</v>
      </c>
      <c r="D47" t="s">
        <v>7</v>
      </c>
      <c r="E47" t="s">
        <v>103</v>
      </c>
      <c r="F47">
        <f>LEN(main3[[#This Row],[SKU]])</f>
        <v>6</v>
      </c>
      <c r="G47">
        <f>IF(RIGHT(main3[[#This Row],[SKU]],2) = "01", 1, 0)</f>
        <v>1</v>
      </c>
      <c r="H47" t="str">
        <f t="shared" si="1"/>
        <v>clean</v>
      </c>
    </row>
    <row r="48" spans="1:8" x14ac:dyDescent="0.35">
      <c r="A48" t="s">
        <v>101</v>
      </c>
      <c r="B48" t="s">
        <v>102</v>
      </c>
      <c r="C48" t="s">
        <v>7</v>
      </c>
      <c r="D48" t="s">
        <v>7</v>
      </c>
      <c r="E48" t="s">
        <v>104</v>
      </c>
      <c r="F48">
        <f>LEN(main3[[#This Row],[SKU]])</f>
        <v>6</v>
      </c>
      <c r="G48">
        <f>IF(RIGHT(main3[[#This Row],[SKU]],2) = "01", 1, 0)</f>
        <v>1</v>
      </c>
      <c r="H48" t="str">
        <f t="shared" si="1"/>
        <v>duplicate</v>
      </c>
    </row>
    <row r="49" spans="1:8" x14ac:dyDescent="0.35">
      <c r="A49" t="s">
        <v>105</v>
      </c>
      <c r="B49" t="s">
        <v>106</v>
      </c>
      <c r="C49" t="s">
        <v>7</v>
      </c>
      <c r="D49" t="s">
        <v>7</v>
      </c>
      <c r="E49" t="s">
        <v>107</v>
      </c>
      <c r="F49">
        <f>LEN(main3[[#This Row],[SKU]])</f>
        <v>6</v>
      </c>
      <c r="G49">
        <f>IF(RIGHT(main3[[#This Row],[SKU]],2) = "01", 1, 0)</f>
        <v>1</v>
      </c>
      <c r="H49" t="str">
        <f t="shared" si="1"/>
        <v>clean</v>
      </c>
    </row>
    <row r="50" spans="1:8" x14ac:dyDescent="0.35">
      <c r="A50" t="s">
        <v>105</v>
      </c>
      <c r="B50" t="s">
        <v>106</v>
      </c>
      <c r="C50" t="s">
        <v>7</v>
      </c>
      <c r="D50" t="s">
        <v>7</v>
      </c>
      <c r="E50" t="s">
        <v>108</v>
      </c>
      <c r="F50">
        <f>LEN(main3[[#This Row],[SKU]])</f>
        <v>6</v>
      </c>
      <c r="G50">
        <f>IF(RIGHT(main3[[#This Row],[SKU]],2) = "01", 1, 0)</f>
        <v>1</v>
      </c>
      <c r="H50" t="str">
        <f t="shared" si="1"/>
        <v>duplicate</v>
      </c>
    </row>
    <row r="51" spans="1:8" x14ac:dyDescent="0.35">
      <c r="A51" t="s">
        <v>24</v>
      </c>
      <c r="B51" t="s">
        <v>25</v>
      </c>
      <c r="C51" t="s">
        <v>7</v>
      </c>
      <c r="D51" t="s">
        <v>7</v>
      </c>
      <c r="E51" t="s">
        <v>109</v>
      </c>
      <c r="F51">
        <f>LEN(main3[[#This Row],[SKU]])</f>
        <v>6</v>
      </c>
      <c r="G51">
        <f>IF(RIGHT(main3[[#This Row],[SKU]],2) = "01", 1, 0)</f>
        <v>1</v>
      </c>
      <c r="H51" t="str">
        <f t="shared" si="1"/>
        <v>clean</v>
      </c>
    </row>
  </sheetData>
  <mergeCells count="1">
    <mergeCell ref="J2:J6"/>
  </mergeCells>
  <conditionalFormatting sqref="G1:G51">
    <cfRule type="cellIs" dxfId="1" priority="2" operator="equal">
      <formula>0</formula>
    </cfRule>
  </conditionalFormatting>
  <conditionalFormatting sqref="H1">
    <cfRule type="cellIs" dxfId="0" priority="1" operator="equal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036B-30F3-4A73-9535-3926DBB6EE16}">
  <dimension ref="A1:J51"/>
  <sheetViews>
    <sheetView tabSelected="1" workbookViewId="0">
      <selection activeCell="I2" sqref="I2"/>
    </sheetView>
  </sheetViews>
  <sheetFormatPr defaultRowHeight="14.5" x14ac:dyDescent="0.35"/>
  <cols>
    <col min="1" max="1" width="19.453125" customWidth="1"/>
    <col min="2" max="2" width="8" bestFit="1" customWidth="1"/>
    <col min="3" max="3" width="16.26953125" customWidth="1"/>
    <col min="4" max="4" width="13" customWidth="1"/>
    <col min="5" max="5" width="11.81640625" customWidth="1"/>
    <col min="6" max="6" width="12.54296875" customWidth="1"/>
    <col min="7" max="7" width="9.1796875" customWidth="1"/>
    <col min="8" max="8" width="12.1796875" customWidth="1"/>
    <col min="9" max="9" width="18.1796875" customWidth="1"/>
    <col min="10" max="10" width="15" customWidth="1"/>
  </cols>
  <sheetData>
    <row r="1" spans="1:10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110</v>
      </c>
      <c r="G1" t="s">
        <v>111</v>
      </c>
      <c r="H1" t="s">
        <v>112</v>
      </c>
      <c r="I1" s="3" t="s">
        <v>124</v>
      </c>
      <c r="J1" s="3" t="s">
        <v>125</v>
      </c>
    </row>
    <row r="2" spans="1:10" x14ac:dyDescent="0.35">
      <c r="A2" t="s">
        <v>5</v>
      </c>
      <c r="B2" s="4" t="s">
        <v>119</v>
      </c>
      <c r="C2" t="s">
        <v>7</v>
      </c>
      <c r="D2" t="s">
        <v>7</v>
      </c>
      <c r="E2" t="s">
        <v>8</v>
      </c>
      <c r="F2">
        <v>6</v>
      </c>
      <c r="G2">
        <v>1</v>
      </c>
      <c r="H2" t="s">
        <v>114</v>
      </c>
      <c r="I2" s="4" t="str">
        <f>IF(LEN(B2)&lt;6, TEXT(B2 &amp; "01", "@"), TEXT(B2, "@"))</f>
        <v>G6DH01</v>
      </c>
      <c r="J2" t="str">
        <f>IF(LEN(Table5[[#This Row],[Clean SKUs]]), "Clean SKU", "Issue")</f>
        <v>Clean SKU</v>
      </c>
    </row>
    <row r="3" spans="1:10" x14ac:dyDescent="0.35">
      <c r="A3" t="s">
        <v>9</v>
      </c>
      <c r="B3" t="s">
        <v>10</v>
      </c>
      <c r="C3" t="s">
        <v>7</v>
      </c>
      <c r="D3" t="s">
        <v>7</v>
      </c>
      <c r="E3" t="s">
        <v>11</v>
      </c>
      <c r="F3">
        <v>6</v>
      </c>
      <c r="G3">
        <v>0</v>
      </c>
      <c r="H3" t="s">
        <v>114</v>
      </c>
      <c r="I3" t="str">
        <f t="shared" ref="I2:I33" si="0">IF(LEN(B3)&lt;6, TEXT(B3 &amp; "01", "@"), TEXT(B3, "@"))</f>
        <v>G3FJCT</v>
      </c>
      <c r="J3" t="str">
        <f>IF(LEN(Table5[[#This Row],[Clean SKUs]]), "Clean SKU", "Issue")</f>
        <v>Clean SKU</v>
      </c>
    </row>
    <row r="4" spans="1:10" x14ac:dyDescent="0.35">
      <c r="A4" t="s">
        <v>12</v>
      </c>
      <c r="B4" t="s">
        <v>122</v>
      </c>
      <c r="C4" t="s">
        <v>7</v>
      </c>
      <c r="D4" t="s">
        <v>7</v>
      </c>
      <c r="E4" t="s">
        <v>14</v>
      </c>
      <c r="F4">
        <v>6</v>
      </c>
      <c r="G4">
        <v>1</v>
      </c>
      <c r="H4" t="s">
        <v>114</v>
      </c>
      <c r="I4" t="str">
        <f>IF(LEN(B4)&lt;6, TEXT(B4 &amp; "01", "@"), TEXT(B4, "@"))</f>
        <v>PG5001</v>
      </c>
      <c r="J4" t="str">
        <f>IF(LEN(Table5[[#This Row],[Clean SKUs]]), "Clean SKU", "Issue")</f>
        <v>Clean SKU</v>
      </c>
    </row>
    <row r="5" spans="1:10" x14ac:dyDescent="0.35">
      <c r="A5" t="s">
        <v>15</v>
      </c>
      <c r="B5" t="s">
        <v>16</v>
      </c>
      <c r="C5" t="s">
        <v>7</v>
      </c>
      <c r="D5" t="s">
        <v>7</v>
      </c>
      <c r="E5" t="s">
        <v>17</v>
      </c>
      <c r="F5">
        <v>6</v>
      </c>
      <c r="G5">
        <v>0</v>
      </c>
      <c r="H5" t="s">
        <v>114</v>
      </c>
      <c r="I5" t="str">
        <f t="shared" si="0"/>
        <v>YA6F66</v>
      </c>
      <c r="J5" t="str">
        <f>IF(LEN(Table5[[#This Row],[Clean SKUs]]), "Clean SKU", "Issue")</f>
        <v>Clean SKU</v>
      </c>
    </row>
    <row r="6" spans="1:10" x14ac:dyDescent="0.35">
      <c r="A6" t="s">
        <v>18</v>
      </c>
      <c r="B6" t="s">
        <v>19</v>
      </c>
      <c r="C6" t="s">
        <v>7</v>
      </c>
      <c r="D6" t="s">
        <v>7</v>
      </c>
      <c r="E6" t="s">
        <v>20</v>
      </c>
      <c r="F6">
        <v>6</v>
      </c>
      <c r="G6">
        <v>1</v>
      </c>
      <c r="H6" t="s">
        <v>114</v>
      </c>
      <c r="I6" t="str">
        <f t="shared" si="0"/>
        <v>G1DW01</v>
      </c>
      <c r="J6" t="str">
        <f>IF(LEN(Table5[[#This Row],[Clean SKUs]]), "Clean SKU", "Issue")</f>
        <v>Clean SKU</v>
      </c>
    </row>
    <row r="7" spans="1:10" x14ac:dyDescent="0.35">
      <c r="A7" t="s">
        <v>21</v>
      </c>
      <c r="B7" t="s">
        <v>22</v>
      </c>
      <c r="C7" t="s">
        <v>7</v>
      </c>
      <c r="D7" t="s">
        <v>7</v>
      </c>
      <c r="E7" t="s">
        <v>23</v>
      </c>
      <c r="F7">
        <v>6</v>
      </c>
      <c r="G7">
        <v>1</v>
      </c>
      <c r="H7" t="s">
        <v>114</v>
      </c>
      <c r="I7" t="str">
        <f t="shared" si="0"/>
        <v>G8MF01</v>
      </c>
      <c r="J7" t="str">
        <f>IF(LEN(Table5[[#This Row],[Clean SKUs]]), "Clean SKU", "Issue")</f>
        <v>Clean SKU</v>
      </c>
    </row>
    <row r="8" spans="1:10" x14ac:dyDescent="0.35">
      <c r="A8" t="s">
        <v>24</v>
      </c>
      <c r="B8" t="s">
        <v>120</v>
      </c>
      <c r="C8" t="s">
        <v>7</v>
      </c>
      <c r="D8" t="s">
        <v>7</v>
      </c>
      <c r="E8" t="s">
        <v>26</v>
      </c>
      <c r="F8">
        <v>6</v>
      </c>
      <c r="G8">
        <v>1</v>
      </c>
      <c r="H8" t="s">
        <v>114</v>
      </c>
      <c r="I8" t="str">
        <f t="shared" si="0"/>
        <v>GTJX01</v>
      </c>
      <c r="J8" t="str">
        <f>IF(LEN(Table5[[#This Row],[Clean SKUs]]), "Clean SKU", "Issue")</f>
        <v>Clean SKU</v>
      </c>
    </row>
    <row r="9" spans="1:10" hidden="1" x14ac:dyDescent="0.35">
      <c r="A9" t="s">
        <v>24</v>
      </c>
      <c r="B9" t="s">
        <v>25</v>
      </c>
      <c r="C9" t="s">
        <v>7</v>
      </c>
      <c r="D9" t="s">
        <v>7</v>
      </c>
      <c r="E9" t="s">
        <v>27</v>
      </c>
      <c r="F9">
        <v>6</v>
      </c>
      <c r="G9">
        <v>1</v>
      </c>
      <c r="H9" t="s">
        <v>115</v>
      </c>
      <c r="I9" t="str">
        <f t="shared" si="0"/>
        <v>GTJX01</v>
      </c>
      <c r="J9" t="str">
        <f>IF(LEN(Table5[[#This Row],[Clean SKUs]]), "Clean SKU", "Issue")</f>
        <v>Clean SKU</v>
      </c>
    </row>
    <row r="10" spans="1:10" x14ac:dyDescent="0.35">
      <c r="A10" t="s">
        <v>28</v>
      </c>
      <c r="B10" t="s">
        <v>29</v>
      </c>
      <c r="C10" t="s">
        <v>7</v>
      </c>
      <c r="D10" t="s">
        <v>7</v>
      </c>
      <c r="E10" t="s">
        <v>30</v>
      </c>
      <c r="F10">
        <v>6</v>
      </c>
      <c r="G10">
        <v>1</v>
      </c>
      <c r="H10" t="s">
        <v>114</v>
      </c>
      <c r="I10" t="str">
        <f t="shared" si="0"/>
        <v>G37B01</v>
      </c>
      <c r="J10" t="str">
        <f>IF(LEN(Table5[[#This Row],[Clean SKUs]]), "Clean SKU", "Issue")</f>
        <v>Clean SKU</v>
      </c>
    </row>
    <row r="11" spans="1:10" hidden="1" x14ac:dyDescent="0.35">
      <c r="A11" t="s">
        <v>28</v>
      </c>
      <c r="B11" t="s">
        <v>29</v>
      </c>
      <c r="C11" t="s">
        <v>7</v>
      </c>
      <c r="D11" t="s">
        <v>7</v>
      </c>
      <c r="E11" t="s">
        <v>31</v>
      </c>
      <c r="F11">
        <v>6</v>
      </c>
      <c r="G11">
        <v>1</v>
      </c>
      <c r="H11" t="s">
        <v>115</v>
      </c>
      <c r="I11" t="str">
        <f t="shared" si="0"/>
        <v>G37B01</v>
      </c>
      <c r="J11" t="str">
        <f>IF(LEN(Table5[[#This Row],[Clean SKUs]]), "Clean SKU", "Issue")</f>
        <v>Clean SKU</v>
      </c>
    </row>
    <row r="12" spans="1:10" x14ac:dyDescent="0.35">
      <c r="A12" t="s">
        <v>32</v>
      </c>
      <c r="B12" t="s">
        <v>33</v>
      </c>
      <c r="C12" t="s">
        <v>7</v>
      </c>
      <c r="D12" t="s">
        <v>7</v>
      </c>
      <c r="E12" t="s">
        <v>34</v>
      </c>
      <c r="F12">
        <v>6</v>
      </c>
      <c r="G12">
        <v>1</v>
      </c>
      <c r="H12" t="s">
        <v>114</v>
      </c>
      <c r="I12" t="str">
        <f t="shared" si="0"/>
        <v>G5TE01</v>
      </c>
      <c r="J12" t="str">
        <f>IF(LEN(Table5[[#This Row],[Clean SKUs]]), "Clean SKU", "Issue")</f>
        <v>Clean SKU</v>
      </c>
    </row>
    <row r="13" spans="1:10" hidden="1" x14ac:dyDescent="0.35">
      <c r="A13" t="s">
        <v>32</v>
      </c>
      <c r="B13" t="s">
        <v>33</v>
      </c>
      <c r="C13" t="s">
        <v>7</v>
      </c>
      <c r="D13" t="s">
        <v>7</v>
      </c>
      <c r="E13" t="s">
        <v>35</v>
      </c>
      <c r="F13">
        <v>6</v>
      </c>
      <c r="G13">
        <v>1</v>
      </c>
      <c r="H13" t="s">
        <v>115</v>
      </c>
      <c r="I13" t="str">
        <f t="shared" si="0"/>
        <v>G5TE01</v>
      </c>
      <c r="J13" t="str">
        <f>IF(LEN(Table5[[#This Row],[Clean SKUs]]), "Clean SKU", "Issue")</f>
        <v>Clean SKU</v>
      </c>
    </row>
    <row r="14" spans="1:10" x14ac:dyDescent="0.35">
      <c r="A14" t="s">
        <v>36</v>
      </c>
      <c r="B14" t="s">
        <v>37</v>
      </c>
      <c r="C14" t="s">
        <v>7</v>
      </c>
      <c r="D14" t="s">
        <v>7</v>
      </c>
      <c r="E14" t="s">
        <v>38</v>
      </c>
      <c r="F14">
        <v>6</v>
      </c>
      <c r="G14">
        <v>1</v>
      </c>
      <c r="H14" t="s">
        <v>114</v>
      </c>
      <c r="I14" t="str">
        <f t="shared" si="0"/>
        <v>PTGK01</v>
      </c>
      <c r="J14" t="str">
        <f>IF(LEN(Table5[[#This Row],[Clean SKUs]]), "Clean SKU", "Issue")</f>
        <v>Clean SKU</v>
      </c>
    </row>
    <row r="15" spans="1:10" hidden="1" x14ac:dyDescent="0.35">
      <c r="A15" t="s">
        <v>36</v>
      </c>
      <c r="B15" t="s">
        <v>37</v>
      </c>
      <c r="C15" t="s">
        <v>7</v>
      </c>
      <c r="D15" t="s">
        <v>7</v>
      </c>
      <c r="E15" t="s">
        <v>39</v>
      </c>
      <c r="F15">
        <v>6</v>
      </c>
      <c r="G15">
        <v>1</v>
      </c>
      <c r="H15" t="s">
        <v>115</v>
      </c>
      <c r="I15" t="str">
        <f t="shared" si="0"/>
        <v>PTGK01</v>
      </c>
      <c r="J15" t="str">
        <f>IF(LEN(Table5[[#This Row],[Clean SKUs]]), "Clean SKU", "Issue")</f>
        <v>Clean SKU</v>
      </c>
    </row>
    <row r="16" spans="1:10" x14ac:dyDescent="0.35">
      <c r="A16" t="s">
        <v>40</v>
      </c>
      <c r="B16" t="s">
        <v>41</v>
      </c>
      <c r="C16" t="s">
        <v>7</v>
      </c>
      <c r="D16" t="s">
        <v>7</v>
      </c>
      <c r="E16" t="s">
        <v>42</v>
      </c>
      <c r="F16">
        <v>6</v>
      </c>
      <c r="G16">
        <v>1</v>
      </c>
      <c r="H16" t="s">
        <v>114</v>
      </c>
      <c r="I16" t="str">
        <f t="shared" si="0"/>
        <v>PTGL01</v>
      </c>
      <c r="J16" t="str">
        <f>IF(LEN(Table5[[#This Row],[Clean SKUs]]), "Clean SKU", "Issue")</f>
        <v>Clean SKU</v>
      </c>
    </row>
    <row r="17" spans="1:10" hidden="1" x14ac:dyDescent="0.35">
      <c r="A17" t="s">
        <v>40</v>
      </c>
      <c r="B17" t="s">
        <v>41</v>
      </c>
      <c r="C17" t="s">
        <v>7</v>
      </c>
      <c r="D17" t="s">
        <v>7</v>
      </c>
      <c r="E17" t="s">
        <v>43</v>
      </c>
      <c r="F17">
        <v>6</v>
      </c>
      <c r="G17">
        <v>1</v>
      </c>
      <c r="H17" t="s">
        <v>115</v>
      </c>
      <c r="I17" t="str">
        <f t="shared" si="0"/>
        <v>PTGL01</v>
      </c>
      <c r="J17" t="str">
        <f>IF(LEN(Table5[[#This Row],[Clean SKUs]]), "Clean SKU", "Issue")</f>
        <v>Clean SKU</v>
      </c>
    </row>
    <row r="18" spans="1:10" x14ac:dyDescent="0.35">
      <c r="A18" t="s">
        <v>44</v>
      </c>
      <c r="B18" t="s">
        <v>45</v>
      </c>
      <c r="C18" t="s">
        <v>7</v>
      </c>
      <c r="D18" t="s">
        <v>7</v>
      </c>
      <c r="E18" t="s">
        <v>46</v>
      </c>
      <c r="F18">
        <v>6</v>
      </c>
      <c r="G18">
        <v>1</v>
      </c>
      <c r="H18" t="s">
        <v>114</v>
      </c>
      <c r="I18" t="str">
        <f t="shared" si="0"/>
        <v>GTJY01</v>
      </c>
      <c r="J18" t="str">
        <f>IF(LEN(Table5[[#This Row],[Clean SKUs]]), "Clean SKU", "Issue")</f>
        <v>Clean SKU</v>
      </c>
    </row>
    <row r="19" spans="1:10" hidden="1" x14ac:dyDescent="0.35">
      <c r="A19" t="s">
        <v>44</v>
      </c>
      <c r="B19" t="s">
        <v>116</v>
      </c>
      <c r="C19" t="s">
        <v>7</v>
      </c>
      <c r="D19" t="s">
        <v>7</v>
      </c>
      <c r="E19" t="s">
        <v>47</v>
      </c>
      <c r="F19">
        <v>6</v>
      </c>
      <c r="G19">
        <v>1</v>
      </c>
      <c r="H19" t="s">
        <v>115</v>
      </c>
      <c r="I19" t="str">
        <f t="shared" si="0"/>
        <v>GTJY01</v>
      </c>
      <c r="J19" t="str">
        <f>IF(LEN(Table5[[#This Row],[Clean SKUs]]), "Clean SKU", "Issue")</f>
        <v>Clean SKU</v>
      </c>
    </row>
    <row r="20" spans="1:10" x14ac:dyDescent="0.35">
      <c r="A20" t="s">
        <v>48</v>
      </c>
      <c r="B20" t="s">
        <v>49</v>
      </c>
      <c r="C20" t="s">
        <v>7</v>
      </c>
      <c r="D20" t="s">
        <v>7</v>
      </c>
      <c r="E20" t="s">
        <v>50</v>
      </c>
      <c r="F20">
        <v>6</v>
      </c>
      <c r="G20">
        <v>1</v>
      </c>
      <c r="H20" t="s">
        <v>114</v>
      </c>
      <c r="I20" t="str">
        <f t="shared" si="0"/>
        <v>GTK101</v>
      </c>
      <c r="J20" t="str">
        <f>IF(LEN(Table5[[#This Row],[Clean SKUs]]), "Clean SKU", "Issue")</f>
        <v>Clean SKU</v>
      </c>
    </row>
    <row r="21" spans="1:10" hidden="1" x14ac:dyDescent="0.35">
      <c r="A21" t="s">
        <v>48</v>
      </c>
      <c r="B21" t="s">
        <v>49</v>
      </c>
      <c r="C21" t="s">
        <v>7</v>
      </c>
      <c r="D21" t="s">
        <v>7</v>
      </c>
      <c r="E21" t="s">
        <v>51</v>
      </c>
      <c r="F21">
        <v>6</v>
      </c>
      <c r="G21">
        <v>1</v>
      </c>
      <c r="H21" t="s">
        <v>115</v>
      </c>
      <c r="I21" t="str">
        <f t="shared" si="0"/>
        <v>GTK101</v>
      </c>
      <c r="J21" t="str">
        <f>IF(LEN(Table5[[#This Row],[Clean SKUs]]), "Clean SKU", "Issue")</f>
        <v>Clean SKU</v>
      </c>
    </row>
    <row r="22" spans="1:10" x14ac:dyDescent="0.35">
      <c r="A22" t="s">
        <v>52</v>
      </c>
      <c r="B22" t="s">
        <v>53</v>
      </c>
      <c r="C22" t="s">
        <v>7</v>
      </c>
      <c r="D22" t="s">
        <v>7</v>
      </c>
      <c r="E22" t="s">
        <v>54</v>
      </c>
      <c r="F22">
        <v>6</v>
      </c>
      <c r="G22">
        <v>1</v>
      </c>
      <c r="H22" t="s">
        <v>114</v>
      </c>
      <c r="I22" t="str">
        <f t="shared" si="0"/>
        <v>GTK001</v>
      </c>
      <c r="J22" t="str">
        <f>IF(LEN(Table5[[#This Row],[Clean SKUs]]), "Clean SKU", "Issue")</f>
        <v>Clean SKU</v>
      </c>
    </row>
    <row r="23" spans="1:10" hidden="1" x14ac:dyDescent="0.35">
      <c r="A23" t="s">
        <v>52</v>
      </c>
      <c r="B23" t="s">
        <v>53</v>
      </c>
      <c r="C23" t="s">
        <v>7</v>
      </c>
      <c r="D23" t="s">
        <v>7</v>
      </c>
      <c r="E23" t="s">
        <v>55</v>
      </c>
      <c r="F23">
        <v>6</v>
      </c>
      <c r="G23">
        <v>1</v>
      </c>
      <c r="H23" t="s">
        <v>115</v>
      </c>
      <c r="I23" t="str">
        <f t="shared" si="0"/>
        <v>GTK001</v>
      </c>
      <c r="J23" t="str">
        <f>IF(LEN(Table5[[#This Row],[Clean SKUs]]), "Clean SKU", "Issue")</f>
        <v>Clean SKU</v>
      </c>
    </row>
    <row r="24" spans="1:10" x14ac:dyDescent="0.35">
      <c r="A24" t="s">
        <v>56</v>
      </c>
      <c r="B24" t="s">
        <v>57</v>
      </c>
      <c r="C24" t="s">
        <v>7</v>
      </c>
      <c r="D24" t="s">
        <v>7</v>
      </c>
      <c r="E24" t="s">
        <v>58</v>
      </c>
      <c r="F24">
        <v>6</v>
      </c>
      <c r="G24">
        <v>1</v>
      </c>
      <c r="H24" t="s">
        <v>114</v>
      </c>
      <c r="I24" t="str">
        <f t="shared" si="0"/>
        <v>PGJJ01</v>
      </c>
      <c r="J24" t="str">
        <f>IF(LEN(Table5[[#This Row],[Clean SKUs]]), "Clean SKU", "Issue")</f>
        <v>Clean SKU</v>
      </c>
    </row>
    <row r="25" spans="1:10" hidden="1" x14ac:dyDescent="0.35">
      <c r="A25" t="s">
        <v>56</v>
      </c>
      <c r="B25" t="s">
        <v>57</v>
      </c>
      <c r="C25" t="s">
        <v>7</v>
      </c>
      <c r="D25" t="s">
        <v>7</v>
      </c>
      <c r="E25" t="s">
        <v>59</v>
      </c>
      <c r="F25">
        <v>6</v>
      </c>
      <c r="G25">
        <v>1</v>
      </c>
      <c r="H25" t="s">
        <v>115</v>
      </c>
      <c r="I25" t="str">
        <f t="shared" si="0"/>
        <v>PGJJ01</v>
      </c>
      <c r="J25" t="str">
        <f>IF(LEN(Table5[[#This Row],[Clean SKUs]]), "Clean SKU", "Issue")</f>
        <v>Clean SKU</v>
      </c>
    </row>
    <row r="26" spans="1:10" x14ac:dyDescent="0.35">
      <c r="A26" t="s">
        <v>60</v>
      </c>
      <c r="B26" t="s">
        <v>121</v>
      </c>
      <c r="C26" t="s">
        <v>7</v>
      </c>
      <c r="D26" t="s">
        <v>7</v>
      </c>
      <c r="E26" t="s">
        <v>62</v>
      </c>
      <c r="F26">
        <v>6</v>
      </c>
      <c r="G26">
        <v>1</v>
      </c>
      <c r="H26" t="s">
        <v>114</v>
      </c>
      <c r="I26" t="str">
        <f t="shared" si="0"/>
        <v>PR2W01</v>
      </c>
      <c r="J26" t="str">
        <f>IF(LEN(Table5[[#This Row],[Clean SKUs]]), "Clean SKU", "Issue")</f>
        <v>Clean SKU</v>
      </c>
    </row>
    <row r="27" spans="1:10" hidden="1" x14ac:dyDescent="0.35">
      <c r="A27" t="s">
        <v>60</v>
      </c>
      <c r="B27" t="s">
        <v>61</v>
      </c>
      <c r="C27" t="s">
        <v>7</v>
      </c>
      <c r="D27" t="s">
        <v>7</v>
      </c>
      <c r="E27" t="s">
        <v>63</v>
      </c>
      <c r="F27">
        <v>6</v>
      </c>
      <c r="G27">
        <v>1</v>
      </c>
      <c r="H27" t="s">
        <v>115</v>
      </c>
      <c r="I27" t="str">
        <f t="shared" si="0"/>
        <v>PR2W01</v>
      </c>
      <c r="J27" t="str">
        <f>IF(LEN(Table5[[#This Row],[Clean SKUs]]), "Clean SKU", "Issue")</f>
        <v>Clean SKU</v>
      </c>
    </row>
    <row r="28" spans="1:10" hidden="1" x14ac:dyDescent="0.35">
      <c r="A28" t="s">
        <v>12</v>
      </c>
      <c r="B28" t="s">
        <v>13</v>
      </c>
      <c r="C28" t="s">
        <v>7</v>
      </c>
      <c r="D28" t="s">
        <v>7</v>
      </c>
      <c r="E28" t="s">
        <v>64</v>
      </c>
      <c r="F28">
        <v>6</v>
      </c>
      <c r="G28">
        <v>1</v>
      </c>
      <c r="H28" t="s">
        <v>115</v>
      </c>
      <c r="I28" t="str">
        <f t="shared" si="0"/>
        <v>PG5001</v>
      </c>
      <c r="J28" t="str">
        <f>IF(LEN(Table5[[#This Row],[Clean SKUs]]), "Clean SKU", "Issue")</f>
        <v>Clean SKU</v>
      </c>
    </row>
    <row r="29" spans="1:10" x14ac:dyDescent="0.35">
      <c r="A29" t="s">
        <v>65</v>
      </c>
      <c r="B29" t="s">
        <v>66</v>
      </c>
      <c r="C29" t="s">
        <v>7</v>
      </c>
      <c r="D29" t="s">
        <v>7</v>
      </c>
      <c r="E29" t="s">
        <v>67</v>
      </c>
      <c r="F29">
        <v>6</v>
      </c>
      <c r="G29">
        <v>1</v>
      </c>
      <c r="H29" t="s">
        <v>114</v>
      </c>
      <c r="I29" t="str">
        <f t="shared" si="0"/>
        <v>PG5C01</v>
      </c>
      <c r="J29" t="str">
        <f>IF(LEN(Table5[[#This Row],[Clean SKUs]]), "Clean SKU", "Issue")</f>
        <v>Clean SKU</v>
      </c>
    </row>
    <row r="30" spans="1:10" hidden="1" x14ac:dyDescent="0.35">
      <c r="A30" t="s">
        <v>65</v>
      </c>
      <c r="B30" t="s">
        <v>66</v>
      </c>
      <c r="C30" t="s">
        <v>7</v>
      </c>
      <c r="D30" t="s">
        <v>7</v>
      </c>
      <c r="E30" t="s">
        <v>68</v>
      </c>
      <c r="F30">
        <v>6</v>
      </c>
      <c r="G30">
        <v>1</v>
      </c>
      <c r="H30" t="s">
        <v>115</v>
      </c>
      <c r="I30" t="str">
        <f t="shared" si="0"/>
        <v>PG5C01</v>
      </c>
      <c r="J30" t="str">
        <f>IF(LEN(Table5[[#This Row],[Clean SKUs]]), "Clean SKU", "Issue")</f>
        <v>Clean SKU</v>
      </c>
    </row>
    <row r="31" spans="1:10" x14ac:dyDescent="0.35">
      <c r="A31" t="s">
        <v>69</v>
      </c>
      <c r="B31" t="s">
        <v>70</v>
      </c>
      <c r="C31" t="s">
        <v>7</v>
      </c>
      <c r="D31" t="s">
        <v>7</v>
      </c>
      <c r="E31" t="s">
        <v>71</v>
      </c>
      <c r="F31">
        <v>6</v>
      </c>
      <c r="G31">
        <v>1</v>
      </c>
      <c r="H31" t="s">
        <v>114</v>
      </c>
      <c r="I31" t="str">
        <f t="shared" si="0"/>
        <v>PYNF01</v>
      </c>
      <c r="J31" t="str">
        <f>IF(LEN(Table5[[#This Row],[Clean SKUs]]), "Clean SKU", "Issue")</f>
        <v>Clean SKU</v>
      </c>
    </row>
    <row r="32" spans="1:10" hidden="1" x14ac:dyDescent="0.35">
      <c r="A32" t="s">
        <v>69</v>
      </c>
      <c r="B32" t="s">
        <v>117</v>
      </c>
      <c r="C32" t="s">
        <v>7</v>
      </c>
      <c r="D32" t="s">
        <v>7</v>
      </c>
      <c r="E32" t="s">
        <v>72</v>
      </c>
      <c r="F32">
        <v>6</v>
      </c>
      <c r="G32">
        <v>1</v>
      </c>
      <c r="H32" t="s">
        <v>115</v>
      </c>
      <c r="I32" t="str">
        <f t="shared" si="0"/>
        <v>PYNF01</v>
      </c>
      <c r="J32" t="str">
        <f>IF(LEN(Table5[[#This Row],[Clean SKUs]]), "Clean SKU", "Issue")</f>
        <v>Clean SKU</v>
      </c>
    </row>
    <row r="33" spans="1:10" x14ac:dyDescent="0.35">
      <c r="A33" t="s">
        <v>73</v>
      </c>
      <c r="B33" t="s">
        <v>74</v>
      </c>
      <c r="C33" t="s">
        <v>7</v>
      </c>
      <c r="D33" t="s">
        <v>7</v>
      </c>
      <c r="E33" t="s">
        <v>75</v>
      </c>
      <c r="F33">
        <v>6</v>
      </c>
      <c r="G33">
        <v>1</v>
      </c>
      <c r="H33" t="s">
        <v>114</v>
      </c>
      <c r="I33" t="str">
        <f t="shared" si="0"/>
        <v>R3NX01</v>
      </c>
      <c r="J33" t="str">
        <f>IF(LEN(Table5[[#This Row],[Clean SKUs]]), "Clean SKU", "Issue")</f>
        <v>Clean SKU</v>
      </c>
    </row>
    <row r="34" spans="1:10" hidden="1" x14ac:dyDescent="0.35">
      <c r="A34" t="s">
        <v>73</v>
      </c>
      <c r="B34" t="s">
        <v>74</v>
      </c>
      <c r="C34" t="s">
        <v>7</v>
      </c>
      <c r="D34" t="s">
        <v>7</v>
      </c>
      <c r="E34" t="s">
        <v>76</v>
      </c>
      <c r="F34">
        <v>6</v>
      </c>
      <c r="G34">
        <v>1</v>
      </c>
      <c r="H34" t="s">
        <v>115</v>
      </c>
      <c r="I34" t="str">
        <f t="shared" ref="I34:I51" si="1">IF(LEN(B34)&lt;6, TEXT(B34 &amp; "01", "@"), TEXT(B34, "@"))</f>
        <v>R3NX01</v>
      </c>
      <c r="J34" t="str">
        <f>IF(LEN(Table5[[#This Row],[Clean SKUs]]), "Clean SKU", "Issue")</f>
        <v>Clean SKU</v>
      </c>
    </row>
    <row r="35" spans="1:10" x14ac:dyDescent="0.35">
      <c r="A35" t="s">
        <v>77</v>
      </c>
      <c r="B35" t="s">
        <v>78</v>
      </c>
      <c r="C35" t="s">
        <v>7</v>
      </c>
      <c r="D35" t="s">
        <v>7</v>
      </c>
      <c r="E35" t="s">
        <v>79</v>
      </c>
      <c r="F35">
        <v>6</v>
      </c>
      <c r="G35">
        <v>1</v>
      </c>
      <c r="H35" t="s">
        <v>114</v>
      </c>
      <c r="I35" t="str">
        <f t="shared" si="1"/>
        <v>RLJP01</v>
      </c>
      <c r="J35" t="str">
        <f>IF(LEN(Table5[[#This Row],[Clean SKUs]]), "Clean SKU", "Issue")</f>
        <v>Clean SKU</v>
      </c>
    </row>
    <row r="36" spans="1:10" hidden="1" x14ac:dyDescent="0.35">
      <c r="A36" t="s">
        <v>77</v>
      </c>
      <c r="B36" t="s">
        <v>78</v>
      </c>
      <c r="C36" t="s">
        <v>7</v>
      </c>
      <c r="D36" t="s">
        <v>7</v>
      </c>
      <c r="E36" t="s">
        <v>80</v>
      </c>
      <c r="F36">
        <v>6</v>
      </c>
      <c r="G36">
        <v>1</v>
      </c>
      <c r="H36" t="s">
        <v>115</v>
      </c>
      <c r="I36" t="str">
        <f t="shared" si="1"/>
        <v>RLJP01</v>
      </c>
      <c r="J36" t="str">
        <f>IF(LEN(Table5[[#This Row],[Clean SKUs]]), "Clean SKU", "Issue")</f>
        <v>Clean SKU</v>
      </c>
    </row>
    <row r="37" spans="1:10" x14ac:dyDescent="0.35">
      <c r="A37" t="s">
        <v>81</v>
      </c>
      <c r="B37" t="s">
        <v>82</v>
      </c>
      <c r="C37" t="s">
        <v>7</v>
      </c>
      <c r="D37" t="s">
        <v>7</v>
      </c>
      <c r="E37" t="s">
        <v>83</v>
      </c>
      <c r="F37">
        <v>6</v>
      </c>
      <c r="G37">
        <v>1</v>
      </c>
      <c r="H37" t="s">
        <v>114</v>
      </c>
      <c r="I37" t="str">
        <f t="shared" si="1"/>
        <v>YCE701</v>
      </c>
      <c r="J37" t="str">
        <f>IF(LEN(Table5[[#This Row],[Clean SKUs]]), "Clean SKU", "Issue")</f>
        <v>Clean SKU</v>
      </c>
    </row>
    <row r="38" spans="1:10" hidden="1" x14ac:dyDescent="0.35">
      <c r="A38" t="s">
        <v>81</v>
      </c>
      <c r="B38" t="s">
        <v>82</v>
      </c>
      <c r="C38" t="s">
        <v>7</v>
      </c>
      <c r="D38" t="s">
        <v>7</v>
      </c>
      <c r="E38" t="s">
        <v>84</v>
      </c>
      <c r="F38">
        <v>6</v>
      </c>
      <c r="G38">
        <v>1</v>
      </c>
      <c r="H38" t="s">
        <v>115</v>
      </c>
      <c r="I38" t="str">
        <f t="shared" si="1"/>
        <v>YCE701</v>
      </c>
      <c r="J38" t="str">
        <f>IF(LEN(Table5[[#This Row],[Clean SKUs]]), "Clean SKU", "Issue")</f>
        <v>Clean SKU</v>
      </c>
    </row>
    <row r="39" spans="1:10" x14ac:dyDescent="0.35">
      <c r="A39" t="s">
        <v>85</v>
      </c>
      <c r="B39" t="s">
        <v>86</v>
      </c>
      <c r="C39" t="s">
        <v>7</v>
      </c>
      <c r="D39" t="s">
        <v>7</v>
      </c>
      <c r="E39" t="s">
        <v>87</v>
      </c>
      <c r="F39">
        <v>6</v>
      </c>
      <c r="G39">
        <v>1</v>
      </c>
      <c r="H39" t="s">
        <v>114</v>
      </c>
      <c r="I39" t="str">
        <f t="shared" si="1"/>
        <v>PR4901</v>
      </c>
      <c r="J39" t="str">
        <f>IF(LEN(Table5[[#This Row],[Clean SKUs]]), "Clean SKU", "Issue")</f>
        <v>Clean SKU</v>
      </c>
    </row>
    <row r="40" spans="1:10" hidden="1" x14ac:dyDescent="0.35">
      <c r="A40" t="s">
        <v>85</v>
      </c>
      <c r="B40" t="s">
        <v>86</v>
      </c>
      <c r="C40" t="s">
        <v>7</v>
      </c>
      <c r="D40" t="s">
        <v>7</v>
      </c>
      <c r="E40" t="s">
        <v>88</v>
      </c>
      <c r="F40">
        <v>6</v>
      </c>
      <c r="G40">
        <v>1</v>
      </c>
      <c r="H40" t="s">
        <v>115</v>
      </c>
      <c r="I40" t="str">
        <f t="shared" si="1"/>
        <v>PR4901</v>
      </c>
      <c r="J40" t="str">
        <f>IF(LEN(Table5[[#This Row],[Clean SKUs]]), "Clean SKU", "Issue")</f>
        <v>Clean SKU</v>
      </c>
    </row>
    <row r="41" spans="1:10" x14ac:dyDescent="0.35">
      <c r="A41" t="s">
        <v>89</v>
      </c>
      <c r="B41" t="s">
        <v>123</v>
      </c>
      <c r="C41" t="s">
        <v>7</v>
      </c>
      <c r="D41" t="s">
        <v>7</v>
      </c>
      <c r="E41" t="s">
        <v>91</v>
      </c>
      <c r="F41">
        <v>6</v>
      </c>
      <c r="G41">
        <v>1</v>
      </c>
      <c r="H41" t="s">
        <v>114</v>
      </c>
      <c r="I41" t="str">
        <f t="shared" si="1"/>
        <v>PRTF01</v>
      </c>
      <c r="J41" t="str">
        <f>IF(LEN(Table5[[#This Row],[Clean SKUs]]), "Clean SKU", "Issue")</f>
        <v>Clean SKU</v>
      </c>
    </row>
    <row r="42" spans="1:10" hidden="1" x14ac:dyDescent="0.35">
      <c r="A42" t="s">
        <v>89</v>
      </c>
      <c r="B42" t="s">
        <v>90</v>
      </c>
      <c r="C42" t="s">
        <v>7</v>
      </c>
      <c r="D42" t="s">
        <v>7</v>
      </c>
      <c r="E42" t="s">
        <v>92</v>
      </c>
      <c r="F42">
        <v>6</v>
      </c>
      <c r="G42">
        <v>1</v>
      </c>
      <c r="H42" t="s">
        <v>115</v>
      </c>
      <c r="I42" t="str">
        <f t="shared" si="1"/>
        <v>PRTF01</v>
      </c>
      <c r="J42" t="str">
        <f>IF(LEN(Table5[[#This Row],[Clean SKUs]]), "Clean SKU", "Issue")</f>
        <v>Clean SKU</v>
      </c>
    </row>
    <row r="43" spans="1:10" x14ac:dyDescent="0.35">
      <c r="A43" t="s">
        <v>93</v>
      </c>
      <c r="B43" t="s">
        <v>94</v>
      </c>
      <c r="C43" t="s">
        <v>7</v>
      </c>
      <c r="D43" t="s">
        <v>7</v>
      </c>
      <c r="E43" t="s">
        <v>95</v>
      </c>
      <c r="F43">
        <v>6</v>
      </c>
      <c r="G43">
        <v>1</v>
      </c>
      <c r="H43" t="s">
        <v>114</v>
      </c>
      <c r="I43" t="str">
        <f t="shared" si="1"/>
        <v>GREK01</v>
      </c>
      <c r="J43" t="str">
        <f>IF(LEN(Table5[[#This Row],[Clean SKUs]]), "Clean SKU", "Issue")</f>
        <v>Clean SKU</v>
      </c>
    </row>
    <row r="44" spans="1:10" hidden="1" x14ac:dyDescent="0.35">
      <c r="A44" t="s">
        <v>93</v>
      </c>
      <c r="B44" t="s">
        <v>118</v>
      </c>
      <c r="C44" t="s">
        <v>7</v>
      </c>
      <c r="D44" t="s">
        <v>7</v>
      </c>
      <c r="E44" t="s">
        <v>96</v>
      </c>
      <c r="F44">
        <v>6</v>
      </c>
      <c r="G44">
        <v>1</v>
      </c>
      <c r="H44" t="s">
        <v>115</v>
      </c>
      <c r="I44" t="str">
        <f t="shared" si="1"/>
        <v>GREK01</v>
      </c>
      <c r="J44" t="str">
        <f>IF(LEN(Table5[[#This Row],[Clean SKUs]]), "Clean SKU", "Issue")</f>
        <v>Clean SKU</v>
      </c>
    </row>
    <row r="45" spans="1:10" x14ac:dyDescent="0.35">
      <c r="A45" t="s">
        <v>97</v>
      </c>
      <c r="B45" t="s">
        <v>98</v>
      </c>
      <c r="C45" t="s">
        <v>7</v>
      </c>
      <c r="D45" t="s">
        <v>7</v>
      </c>
      <c r="E45" t="s">
        <v>99</v>
      </c>
      <c r="F45">
        <v>6</v>
      </c>
      <c r="G45">
        <v>1</v>
      </c>
      <c r="H45" t="s">
        <v>114</v>
      </c>
      <c r="I45" t="str">
        <f t="shared" si="1"/>
        <v>GREJ01</v>
      </c>
      <c r="J45" t="str">
        <f>IF(LEN(Table5[[#This Row],[Clean SKUs]]), "Clean SKU", "Issue")</f>
        <v>Clean SKU</v>
      </c>
    </row>
    <row r="46" spans="1:10" hidden="1" x14ac:dyDescent="0.35">
      <c r="A46" t="s">
        <v>97</v>
      </c>
      <c r="B46" t="s">
        <v>98</v>
      </c>
      <c r="C46" t="s">
        <v>7</v>
      </c>
      <c r="D46" t="s">
        <v>7</v>
      </c>
      <c r="E46" t="s">
        <v>100</v>
      </c>
      <c r="F46">
        <v>6</v>
      </c>
      <c r="G46">
        <v>1</v>
      </c>
      <c r="H46" t="s">
        <v>115</v>
      </c>
      <c r="I46" t="str">
        <f t="shared" si="1"/>
        <v>GREJ01</v>
      </c>
      <c r="J46" t="str">
        <f>IF(LEN(Table5[[#This Row],[Clean SKUs]]), "Clean SKU", "Issue")</f>
        <v>Clean SKU</v>
      </c>
    </row>
    <row r="47" spans="1:10" x14ac:dyDescent="0.35">
      <c r="A47" t="s">
        <v>101</v>
      </c>
      <c r="B47" t="s">
        <v>102</v>
      </c>
      <c r="C47" t="s">
        <v>7</v>
      </c>
      <c r="D47" t="s">
        <v>7</v>
      </c>
      <c r="E47" t="s">
        <v>103</v>
      </c>
      <c r="F47">
        <v>6</v>
      </c>
      <c r="G47">
        <v>1</v>
      </c>
      <c r="H47" t="s">
        <v>114</v>
      </c>
      <c r="I47" t="str">
        <f t="shared" si="1"/>
        <v>G7EB01</v>
      </c>
      <c r="J47" t="str">
        <f>IF(LEN(Table5[[#This Row],[Clean SKUs]]), "Clean SKU", "Issue")</f>
        <v>Clean SKU</v>
      </c>
    </row>
    <row r="48" spans="1:10" hidden="1" x14ac:dyDescent="0.35">
      <c r="A48" t="s">
        <v>101</v>
      </c>
      <c r="B48" t="s">
        <v>102</v>
      </c>
      <c r="C48" t="s">
        <v>7</v>
      </c>
      <c r="D48" t="s">
        <v>7</v>
      </c>
      <c r="E48" t="s">
        <v>104</v>
      </c>
      <c r="F48">
        <v>6</v>
      </c>
      <c r="G48">
        <v>1</v>
      </c>
      <c r="H48" t="s">
        <v>115</v>
      </c>
      <c r="I48" t="str">
        <f t="shared" si="1"/>
        <v>G7EB01</v>
      </c>
      <c r="J48" t="str">
        <f>IF(LEN(Table5[[#This Row],[Clean SKUs]]), "Clean SKU", "Issue")</f>
        <v>Clean SKU</v>
      </c>
    </row>
    <row r="49" spans="1:10" x14ac:dyDescent="0.35">
      <c r="A49" t="s">
        <v>105</v>
      </c>
      <c r="B49" t="s">
        <v>106</v>
      </c>
      <c r="C49" t="s">
        <v>7</v>
      </c>
      <c r="D49" t="s">
        <v>7</v>
      </c>
      <c r="E49" t="s">
        <v>107</v>
      </c>
      <c r="F49">
        <v>6</v>
      </c>
      <c r="G49">
        <v>1</v>
      </c>
      <c r="H49" t="s">
        <v>114</v>
      </c>
      <c r="I49" t="str">
        <f t="shared" si="1"/>
        <v>G2GN01</v>
      </c>
      <c r="J49" t="str">
        <f>IF(LEN(Table5[[#This Row],[Clean SKUs]]), "Clean SKU", "Issue")</f>
        <v>Clean SKU</v>
      </c>
    </row>
    <row r="50" spans="1:10" hidden="1" x14ac:dyDescent="0.35">
      <c r="A50" t="s">
        <v>105</v>
      </c>
      <c r="B50" t="s">
        <v>106</v>
      </c>
      <c r="C50" t="s">
        <v>7</v>
      </c>
      <c r="D50" t="s">
        <v>7</v>
      </c>
      <c r="E50" t="s">
        <v>108</v>
      </c>
      <c r="F50">
        <v>6</v>
      </c>
      <c r="G50">
        <v>1</v>
      </c>
      <c r="H50" t="s">
        <v>115</v>
      </c>
      <c r="I50" t="str">
        <f t="shared" si="1"/>
        <v>G2GN01</v>
      </c>
      <c r="J50" t="str">
        <f>IF(LEN(Table5[[#This Row],[Clean SKUs]]), "Clean SKU", "Issue")</f>
        <v>Clean SKU</v>
      </c>
    </row>
    <row r="51" spans="1:10" x14ac:dyDescent="0.35">
      <c r="A51" t="s">
        <v>24</v>
      </c>
      <c r="B51" t="s">
        <v>25</v>
      </c>
      <c r="C51" t="s">
        <v>7</v>
      </c>
      <c r="D51" t="s">
        <v>7</v>
      </c>
      <c r="E51" t="s">
        <v>109</v>
      </c>
      <c r="F51">
        <v>6</v>
      </c>
      <c r="G51">
        <v>1</v>
      </c>
      <c r="H51" t="s">
        <v>114</v>
      </c>
      <c r="I51" t="str">
        <f t="shared" si="1"/>
        <v>GTJX01</v>
      </c>
      <c r="J51" t="str">
        <f>IF(LEN(Table5[[#This Row],[Clean SKUs]]), "Clean SKU", "Issue")</f>
        <v>Clean SKU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051D-458C-4B7E-BDC7-8CE834CCCCBC}">
  <dimension ref="A1:J75"/>
  <sheetViews>
    <sheetView topLeftCell="B1" workbookViewId="0">
      <selection activeCell="E12" sqref="E12"/>
    </sheetView>
  </sheetViews>
  <sheetFormatPr defaultRowHeight="14.5" x14ac:dyDescent="0.35"/>
  <cols>
    <col min="1" max="1" width="7.453125" bestFit="1" customWidth="1"/>
    <col min="2" max="2" width="65.26953125" bestFit="1" customWidth="1"/>
    <col min="3" max="3" width="11" bestFit="1" customWidth="1"/>
    <col min="4" max="4" width="15.54296875" bestFit="1" customWidth="1"/>
    <col min="5" max="5" width="85.81640625" customWidth="1"/>
    <col min="6" max="6" width="7.6328125" style="5" bestFit="1" customWidth="1"/>
    <col min="7" max="7" width="18.81640625" bestFit="1" customWidth="1"/>
    <col min="8" max="8" width="13.453125" bestFit="1" customWidth="1"/>
    <col min="9" max="9" width="18.90625" customWidth="1"/>
    <col min="10" max="10" width="11" bestFit="1" customWidth="1"/>
    <col min="11" max="11" width="15.54296875" bestFit="1" customWidth="1"/>
    <col min="12" max="12" width="80.7265625" bestFit="1" customWidth="1"/>
    <col min="13" max="13" width="11" bestFit="1" customWidth="1"/>
    <col min="14" max="14" width="18.81640625" bestFit="1" customWidth="1"/>
    <col min="15" max="15" width="11" bestFit="1" customWidth="1"/>
  </cols>
  <sheetData>
    <row r="1" spans="1:10" x14ac:dyDescent="0.35">
      <c r="A1" t="s">
        <v>352</v>
      </c>
      <c r="B1" t="s">
        <v>3</v>
      </c>
      <c r="C1" t="s">
        <v>127</v>
      </c>
      <c r="D1" t="s">
        <v>353</v>
      </c>
      <c r="E1" t="s">
        <v>354</v>
      </c>
      <c r="F1" s="5" t="s">
        <v>355</v>
      </c>
      <c r="G1" t="s">
        <v>356</v>
      </c>
      <c r="H1" t="s">
        <v>357</v>
      </c>
      <c r="I1" s="1" t="s">
        <v>359</v>
      </c>
      <c r="J1" s="1" t="s">
        <v>364</v>
      </c>
    </row>
    <row r="2" spans="1:10" x14ac:dyDescent="0.35">
      <c r="A2" t="s">
        <v>128</v>
      </c>
      <c r="B2" t="s">
        <v>156</v>
      </c>
      <c r="C2">
        <v>-1</v>
      </c>
      <c r="D2" t="s">
        <v>130</v>
      </c>
      <c r="E2" t="s">
        <v>157</v>
      </c>
      <c r="F2" s="5" t="s">
        <v>158</v>
      </c>
      <c r="G2" t="s">
        <v>142</v>
      </c>
      <c r="H2" t="s">
        <v>159</v>
      </c>
      <c r="I2">
        <f>INT(Estee_Lauder_France[[#This Row],[price]])</f>
        <v>271</v>
      </c>
      <c r="J2">
        <f>INT(Estee_Lauder_France[[#This Row],[price per ml]])</f>
        <v>5</v>
      </c>
    </row>
    <row r="3" spans="1:10" x14ac:dyDescent="0.35">
      <c r="A3" t="s">
        <v>128</v>
      </c>
      <c r="B3" t="s">
        <v>228</v>
      </c>
      <c r="C3">
        <v>0</v>
      </c>
      <c r="D3" t="s">
        <v>130</v>
      </c>
      <c r="E3" t="s">
        <v>229</v>
      </c>
      <c r="F3" s="5" t="s">
        <v>158</v>
      </c>
      <c r="G3" t="s">
        <v>142</v>
      </c>
      <c r="H3" t="s">
        <v>159</v>
      </c>
      <c r="I3">
        <f>INT(Estee_Lauder_France[[#This Row],[price]])</f>
        <v>271</v>
      </c>
      <c r="J3">
        <f>INT(Estee_Lauder_France[[#This Row],[price per ml]])</f>
        <v>5</v>
      </c>
    </row>
    <row r="4" spans="1:10" x14ac:dyDescent="0.35">
      <c r="A4" t="s">
        <v>128</v>
      </c>
      <c r="B4" t="s">
        <v>299</v>
      </c>
      <c r="C4">
        <v>-2</v>
      </c>
      <c r="D4" t="s">
        <v>282</v>
      </c>
      <c r="E4" t="s">
        <v>300</v>
      </c>
      <c r="F4" s="5" t="s">
        <v>158</v>
      </c>
      <c r="G4" t="s">
        <v>142</v>
      </c>
      <c r="H4" t="s">
        <v>159</v>
      </c>
      <c r="I4">
        <f>INT(Estee_Lauder_France[[#This Row],[price]])</f>
        <v>271</v>
      </c>
      <c r="J4">
        <f>INT(Estee_Lauder_France[[#This Row],[price per ml]])</f>
        <v>5</v>
      </c>
    </row>
    <row r="5" spans="1:10" x14ac:dyDescent="0.35">
      <c r="A5" t="s">
        <v>128</v>
      </c>
      <c r="B5" t="s">
        <v>303</v>
      </c>
      <c r="C5">
        <v>-1</v>
      </c>
      <c r="D5" t="s">
        <v>282</v>
      </c>
      <c r="E5" t="s">
        <v>304</v>
      </c>
      <c r="F5" s="5" t="s">
        <v>158</v>
      </c>
      <c r="G5" t="s">
        <v>142</v>
      </c>
      <c r="H5" t="s">
        <v>159</v>
      </c>
      <c r="I5">
        <f>INT(Estee_Lauder_France[[#This Row],[price]])</f>
        <v>271</v>
      </c>
      <c r="J5">
        <f>INT(Estee_Lauder_France[[#This Row],[price per ml]])</f>
        <v>5</v>
      </c>
    </row>
    <row r="6" spans="1:10" x14ac:dyDescent="0.35">
      <c r="A6" t="s">
        <v>128</v>
      </c>
      <c r="B6" t="s">
        <v>344</v>
      </c>
      <c r="C6">
        <v>0</v>
      </c>
      <c r="D6" t="s">
        <v>282</v>
      </c>
      <c r="E6" t="s">
        <v>345</v>
      </c>
      <c r="F6" s="5" t="s">
        <v>158</v>
      </c>
      <c r="G6" t="s">
        <v>142</v>
      </c>
      <c r="H6" t="s">
        <v>159</v>
      </c>
      <c r="I6">
        <f>INT(Estee_Lauder_France[[#This Row],[price]])</f>
        <v>271</v>
      </c>
      <c r="J6">
        <f>INT(Estee_Lauder_France[[#This Row],[price per ml]])</f>
        <v>5</v>
      </c>
    </row>
    <row r="7" spans="1:10" x14ac:dyDescent="0.35">
      <c r="A7" t="s">
        <v>128</v>
      </c>
      <c r="B7" t="s">
        <v>277</v>
      </c>
      <c r="C7">
        <v>0</v>
      </c>
      <c r="D7" t="s">
        <v>130</v>
      </c>
      <c r="E7" t="s">
        <v>278</v>
      </c>
      <c r="F7" s="5" t="s">
        <v>279</v>
      </c>
      <c r="G7" t="s">
        <v>142</v>
      </c>
      <c r="H7" t="s">
        <v>280</v>
      </c>
      <c r="I7">
        <f>INT(Estee_Lauder_France[[#This Row],[price]])</f>
        <v>268</v>
      </c>
      <c r="J7">
        <f>INT(Estee_Lauder_France[[#This Row],[price per ml]])</f>
        <v>5</v>
      </c>
    </row>
    <row r="8" spans="1:10" x14ac:dyDescent="0.35">
      <c r="A8" t="s">
        <v>133</v>
      </c>
      <c r="B8" t="s">
        <v>305</v>
      </c>
      <c r="C8">
        <v>-1</v>
      </c>
      <c r="D8" t="s">
        <v>130</v>
      </c>
      <c r="E8" t="s">
        <v>306</v>
      </c>
      <c r="F8" s="5" t="s">
        <v>307</v>
      </c>
      <c r="G8" t="s">
        <v>137</v>
      </c>
      <c r="H8" t="s">
        <v>308</v>
      </c>
      <c r="I8">
        <f>INT(Estee_Lauder_France[[#This Row],[price]])</f>
        <v>233</v>
      </c>
      <c r="J8">
        <f>INT(Estee_Lauder_France[[#This Row],[price per ml]])</f>
        <v>2</v>
      </c>
    </row>
    <row r="9" spans="1:10" x14ac:dyDescent="0.35">
      <c r="A9" t="s">
        <v>193</v>
      </c>
      <c r="B9" t="s">
        <v>244</v>
      </c>
      <c r="C9">
        <v>0</v>
      </c>
      <c r="D9" t="s">
        <v>130</v>
      </c>
      <c r="E9" t="s">
        <v>245</v>
      </c>
      <c r="F9" s="5" t="s">
        <v>246</v>
      </c>
      <c r="G9" t="s">
        <v>142</v>
      </c>
      <c r="H9" t="s">
        <v>247</v>
      </c>
      <c r="I9">
        <f>INT(Estee_Lauder_France[[#This Row],[price]])</f>
        <v>220</v>
      </c>
      <c r="J9">
        <f>INT(Estee_Lauder_France[[#This Row],[price per ml]])</f>
        <v>4</v>
      </c>
    </row>
    <row r="10" spans="1:10" x14ac:dyDescent="0.35">
      <c r="A10" t="s">
        <v>128</v>
      </c>
      <c r="B10" t="s">
        <v>349</v>
      </c>
      <c r="C10">
        <v>-1</v>
      </c>
      <c r="D10" t="s">
        <v>282</v>
      </c>
      <c r="E10" t="s">
        <v>304</v>
      </c>
      <c r="F10" s="5" t="s">
        <v>350</v>
      </c>
      <c r="G10" t="s">
        <v>142</v>
      </c>
      <c r="H10" t="s">
        <v>351</v>
      </c>
      <c r="I10">
        <f>INT(Estee_Lauder_France[[#This Row],[price]])</f>
        <v>210</v>
      </c>
      <c r="J10">
        <f>INT(Estee_Lauder_France[[#This Row],[price per ml]])</f>
        <v>4</v>
      </c>
    </row>
    <row r="11" spans="1:10" x14ac:dyDescent="0.35">
      <c r="A11" t="s">
        <v>133</v>
      </c>
      <c r="B11" t="s">
        <v>310</v>
      </c>
      <c r="C11">
        <v>-127</v>
      </c>
      <c r="D11" t="s">
        <v>130</v>
      </c>
      <c r="E11" t="s">
        <v>294</v>
      </c>
      <c r="F11" s="5" t="s">
        <v>311</v>
      </c>
      <c r="G11" t="s">
        <v>137</v>
      </c>
      <c r="H11" t="s">
        <v>147</v>
      </c>
      <c r="I11">
        <f>INT(Estee_Lauder_France[[#This Row],[price]])</f>
        <v>196</v>
      </c>
      <c r="J11">
        <f>INT(Estee_Lauder_France[[#This Row],[price per ml]])</f>
        <v>1</v>
      </c>
    </row>
    <row r="12" spans="1:10" x14ac:dyDescent="0.35">
      <c r="A12" t="s">
        <v>133</v>
      </c>
      <c r="B12" t="s">
        <v>134</v>
      </c>
      <c r="C12">
        <v>-16</v>
      </c>
      <c r="D12" t="s">
        <v>130</v>
      </c>
      <c r="E12" t="s">
        <v>135</v>
      </c>
      <c r="F12" s="5" t="s">
        <v>136</v>
      </c>
      <c r="G12" t="s">
        <v>137</v>
      </c>
      <c r="H12" t="s">
        <v>138</v>
      </c>
      <c r="I12">
        <f>INT(Estee_Lauder_France[[#This Row],[price]])</f>
        <v>157</v>
      </c>
      <c r="J12">
        <f>INT(Estee_Lauder_France[[#This Row],[price per ml]])</f>
        <v>1</v>
      </c>
    </row>
    <row r="13" spans="1:10" x14ac:dyDescent="0.35">
      <c r="A13" t="s">
        <v>128</v>
      </c>
      <c r="B13" t="s">
        <v>219</v>
      </c>
      <c r="C13">
        <v>-56</v>
      </c>
      <c r="D13" t="s">
        <v>130</v>
      </c>
      <c r="E13" t="s">
        <v>220</v>
      </c>
      <c r="F13" s="5" t="s">
        <v>221</v>
      </c>
      <c r="G13" t="s">
        <v>222</v>
      </c>
      <c r="H13" t="s">
        <v>223</v>
      </c>
      <c r="I13">
        <f>INT(Estee_Lauder_France[[#This Row],[price]])</f>
        <v>155</v>
      </c>
      <c r="J13">
        <f>INT(Estee_Lauder_France[[#This Row],[price per ml]])</f>
        <v>1</v>
      </c>
    </row>
    <row r="14" spans="1:10" x14ac:dyDescent="0.35">
      <c r="A14" t="s">
        <v>133</v>
      </c>
      <c r="B14" t="s">
        <v>318</v>
      </c>
      <c r="C14">
        <v>-85</v>
      </c>
      <c r="D14" t="s">
        <v>130</v>
      </c>
      <c r="E14" t="s">
        <v>319</v>
      </c>
      <c r="F14" s="5" t="s">
        <v>221</v>
      </c>
      <c r="G14" t="s">
        <v>222</v>
      </c>
      <c r="H14" t="s">
        <v>223</v>
      </c>
      <c r="I14">
        <f>INT(Estee_Lauder_France[[#This Row],[price]])</f>
        <v>155</v>
      </c>
      <c r="J14">
        <f>INT(Estee_Lauder_France[[#This Row],[price per ml]])</f>
        <v>1</v>
      </c>
    </row>
    <row r="15" spans="1:10" x14ac:dyDescent="0.35">
      <c r="A15" t="s">
        <v>128</v>
      </c>
      <c r="B15" t="s">
        <v>148</v>
      </c>
      <c r="C15">
        <v>-20</v>
      </c>
      <c r="D15" t="s">
        <v>130</v>
      </c>
      <c r="E15" t="s">
        <v>135</v>
      </c>
      <c r="F15" s="5" t="s">
        <v>149</v>
      </c>
      <c r="G15" t="s">
        <v>150</v>
      </c>
      <c r="H15" t="s">
        <v>151</v>
      </c>
      <c r="I15">
        <f>INT(Estee_Lauder_France[[#This Row],[price]])</f>
        <v>153</v>
      </c>
      <c r="J15">
        <f>INT(Estee_Lauder_France[[#This Row],[price per ml]])</f>
        <v>2</v>
      </c>
    </row>
    <row r="16" spans="1:10" x14ac:dyDescent="0.35">
      <c r="A16" t="s">
        <v>128</v>
      </c>
      <c r="B16" t="s">
        <v>288</v>
      </c>
      <c r="C16">
        <v>0</v>
      </c>
      <c r="D16" t="s">
        <v>282</v>
      </c>
      <c r="E16" t="s">
        <v>289</v>
      </c>
      <c r="F16" s="5" t="s">
        <v>149</v>
      </c>
      <c r="I16">
        <f>INT(Estee_Lauder_France[[#This Row],[price]])</f>
        <v>153</v>
      </c>
      <c r="J16">
        <f>INT(Estee_Lauder_France[[#This Row],[price per ml]])</f>
        <v>0</v>
      </c>
    </row>
    <row r="17" spans="1:10" x14ac:dyDescent="0.35">
      <c r="A17" t="s">
        <v>193</v>
      </c>
      <c r="B17" t="s">
        <v>230</v>
      </c>
      <c r="C17">
        <v>0</v>
      </c>
      <c r="D17" t="s">
        <v>130</v>
      </c>
      <c r="E17" t="s">
        <v>231</v>
      </c>
      <c r="F17" s="5" t="s">
        <v>232</v>
      </c>
      <c r="G17" t="s">
        <v>142</v>
      </c>
      <c r="H17" t="s">
        <v>233</v>
      </c>
      <c r="I17">
        <f>INT(Estee_Lauder_France[[#This Row],[price]])</f>
        <v>152</v>
      </c>
      <c r="J17">
        <f>INT(Estee_Lauder_France[[#This Row],[price per ml]])</f>
        <v>3</v>
      </c>
    </row>
    <row r="18" spans="1:10" x14ac:dyDescent="0.35">
      <c r="A18" t="s">
        <v>193</v>
      </c>
      <c r="B18" t="s">
        <v>240</v>
      </c>
      <c r="C18">
        <v>0</v>
      </c>
      <c r="D18" t="s">
        <v>130</v>
      </c>
      <c r="E18" t="s">
        <v>241</v>
      </c>
      <c r="F18" s="5" t="s">
        <v>232</v>
      </c>
      <c r="G18" t="s">
        <v>142</v>
      </c>
      <c r="H18" t="s">
        <v>233</v>
      </c>
      <c r="I18">
        <f>INT(Estee_Lauder_France[[#This Row],[price]])</f>
        <v>152</v>
      </c>
      <c r="J18">
        <f>INT(Estee_Lauder_France[[#This Row],[price per ml]])</f>
        <v>3</v>
      </c>
    </row>
    <row r="19" spans="1:10" x14ac:dyDescent="0.35">
      <c r="A19" t="s">
        <v>193</v>
      </c>
      <c r="B19" t="s">
        <v>248</v>
      </c>
      <c r="C19">
        <v>-2</v>
      </c>
      <c r="D19" t="s">
        <v>130</v>
      </c>
      <c r="E19" t="s">
        <v>249</v>
      </c>
      <c r="F19" s="5" t="s">
        <v>232</v>
      </c>
      <c r="G19" t="s">
        <v>142</v>
      </c>
      <c r="H19" t="s">
        <v>233</v>
      </c>
      <c r="I19">
        <f>INT(Estee_Lauder_France[[#This Row],[price]])</f>
        <v>152</v>
      </c>
      <c r="J19">
        <f>INT(Estee_Lauder_France[[#This Row],[price per ml]])</f>
        <v>3</v>
      </c>
    </row>
    <row r="20" spans="1:10" x14ac:dyDescent="0.35">
      <c r="A20" t="s">
        <v>193</v>
      </c>
      <c r="B20" t="s">
        <v>286</v>
      </c>
      <c r="C20">
        <v>-8</v>
      </c>
      <c r="D20" t="s">
        <v>130</v>
      </c>
      <c r="E20" t="s">
        <v>287</v>
      </c>
      <c r="F20" s="5" t="s">
        <v>232</v>
      </c>
      <c r="G20" t="s">
        <v>142</v>
      </c>
      <c r="H20" t="s">
        <v>233</v>
      </c>
      <c r="I20">
        <f>INT(Estee_Lauder_France[[#This Row],[price]])</f>
        <v>152</v>
      </c>
      <c r="J20">
        <f>INT(Estee_Lauder_France[[#This Row],[price per ml]])</f>
        <v>3</v>
      </c>
    </row>
    <row r="21" spans="1:10" x14ac:dyDescent="0.35">
      <c r="A21" t="s">
        <v>133</v>
      </c>
      <c r="B21" t="s">
        <v>297</v>
      </c>
      <c r="C21">
        <v>-3</v>
      </c>
      <c r="D21" t="s">
        <v>130</v>
      </c>
      <c r="E21" t="s">
        <v>298</v>
      </c>
      <c r="F21" s="5" t="s">
        <v>232</v>
      </c>
      <c r="G21" t="s">
        <v>142</v>
      </c>
      <c r="H21" t="s">
        <v>233</v>
      </c>
      <c r="I21">
        <f>INT(Estee_Lauder_France[[#This Row],[price]])</f>
        <v>152</v>
      </c>
      <c r="J21">
        <f>INT(Estee_Lauder_France[[#This Row],[price per ml]])</f>
        <v>3</v>
      </c>
    </row>
    <row r="22" spans="1:10" x14ac:dyDescent="0.35">
      <c r="A22" t="s">
        <v>133</v>
      </c>
      <c r="B22" t="s">
        <v>301</v>
      </c>
      <c r="C22">
        <v>0</v>
      </c>
      <c r="D22" t="s">
        <v>130</v>
      </c>
      <c r="E22" t="s">
        <v>302</v>
      </c>
      <c r="F22" s="5" t="s">
        <v>232</v>
      </c>
      <c r="G22" t="s">
        <v>142</v>
      </c>
      <c r="H22" t="s">
        <v>233</v>
      </c>
      <c r="I22">
        <f>INT(Estee_Lauder_France[[#This Row],[price]])</f>
        <v>152</v>
      </c>
      <c r="J22">
        <f>INT(Estee_Lauder_France[[#This Row],[price per ml]])</f>
        <v>3</v>
      </c>
    </row>
    <row r="23" spans="1:10" x14ac:dyDescent="0.35">
      <c r="A23" t="s">
        <v>133</v>
      </c>
      <c r="B23" t="s">
        <v>342</v>
      </c>
      <c r="C23">
        <v>0</v>
      </c>
      <c r="D23" t="s">
        <v>130</v>
      </c>
      <c r="E23" t="s">
        <v>343</v>
      </c>
      <c r="F23" s="5" t="s">
        <v>232</v>
      </c>
      <c r="G23" t="s">
        <v>142</v>
      </c>
      <c r="H23" t="s">
        <v>233</v>
      </c>
      <c r="I23">
        <f>INT(Estee_Lauder_France[[#This Row],[price]])</f>
        <v>152</v>
      </c>
      <c r="J23">
        <f>INT(Estee_Lauder_France[[#This Row],[price per ml]])</f>
        <v>3</v>
      </c>
    </row>
    <row r="24" spans="1:10" x14ac:dyDescent="0.35">
      <c r="A24" t="s">
        <v>128</v>
      </c>
      <c r="B24" t="s">
        <v>166</v>
      </c>
      <c r="C24">
        <v>0</v>
      </c>
      <c r="D24" t="s">
        <v>130</v>
      </c>
      <c r="E24" t="s">
        <v>167</v>
      </c>
      <c r="F24" s="5" t="s">
        <v>168</v>
      </c>
      <c r="G24" t="s">
        <v>142</v>
      </c>
      <c r="H24" t="s">
        <v>169</v>
      </c>
      <c r="I24">
        <f>INT(Estee_Lauder_France[[#This Row],[price]])</f>
        <v>144</v>
      </c>
      <c r="J24">
        <f>INT(Estee_Lauder_France[[#This Row],[price per ml]])</f>
        <v>2</v>
      </c>
    </row>
    <row r="25" spans="1:10" x14ac:dyDescent="0.35">
      <c r="A25" t="s">
        <v>128</v>
      </c>
      <c r="B25" t="s">
        <v>152</v>
      </c>
      <c r="C25">
        <v>-6</v>
      </c>
      <c r="D25" t="s">
        <v>130</v>
      </c>
      <c r="E25" t="s">
        <v>135</v>
      </c>
      <c r="F25" s="5" t="s">
        <v>153</v>
      </c>
      <c r="G25" t="s">
        <v>154</v>
      </c>
      <c r="H25" t="s">
        <v>155</v>
      </c>
      <c r="I25">
        <f>INT(Estee_Lauder_France[[#This Row],[price]])</f>
        <v>122</v>
      </c>
      <c r="J25">
        <f>INT(Estee_Lauder_France[[#This Row],[price per ml]])</f>
        <v>2</v>
      </c>
    </row>
    <row r="26" spans="1:10" x14ac:dyDescent="0.35">
      <c r="A26" t="s">
        <v>128</v>
      </c>
      <c r="B26" t="s">
        <v>178</v>
      </c>
      <c r="C26">
        <v>-3</v>
      </c>
      <c r="D26" t="s">
        <v>130</v>
      </c>
      <c r="E26" t="s">
        <v>179</v>
      </c>
      <c r="F26" s="5" t="s">
        <v>180</v>
      </c>
      <c r="G26" t="s">
        <v>142</v>
      </c>
      <c r="H26" t="s">
        <v>181</v>
      </c>
      <c r="I26">
        <f>INT(Estee_Lauder_France[[#This Row],[price]])</f>
        <v>119</v>
      </c>
      <c r="J26">
        <f>INT(Estee_Lauder_France[[#This Row],[price per ml]])</f>
        <v>2</v>
      </c>
    </row>
    <row r="27" spans="1:10" x14ac:dyDescent="0.35">
      <c r="A27" t="s">
        <v>128</v>
      </c>
      <c r="B27" t="s">
        <v>182</v>
      </c>
      <c r="C27">
        <v>-6</v>
      </c>
      <c r="D27" t="s">
        <v>130</v>
      </c>
      <c r="E27" t="s">
        <v>183</v>
      </c>
      <c r="F27" s="5" t="s">
        <v>180</v>
      </c>
      <c r="G27" t="s">
        <v>142</v>
      </c>
      <c r="H27" t="s">
        <v>181</v>
      </c>
      <c r="I27">
        <f>INT(Estee_Lauder_France[[#This Row],[price]])</f>
        <v>119</v>
      </c>
      <c r="J27">
        <f>INT(Estee_Lauder_France[[#This Row],[price per ml]])</f>
        <v>2</v>
      </c>
    </row>
    <row r="28" spans="1:10" x14ac:dyDescent="0.35">
      <c r="A28" t="s">
        <v>133</v>
      </c>
      <c r="B28" t="s">
        <v>199</v>
      </c>
      <c r="C28">
        <v>-56</v>
      </c>
      <c r="D28" t="s">
        <v>130</v>
      </c>
      <c r="E28" t="s">
        <v>200</v>
      </c>
      <c r="F28" s="5" t="s">
        <v>180</v>
      </c>
      <c r="G28" t="s">
        <v>201</v>
      </c>
      <c r="H28" t="s">
        <v>202</v>
      </c>
      <c r="I28">
        <f>INT(Estee_Lauder_France[[#This Row],[price]])</f>
        <v>119</v>
      </c>
      <c r="J28">
        <f>INT(Estee_Lauder_France[[#This Row],[price per ml]])</f>
        <v>2</v>
      </c>
    </row>
    <row r="29" spans="1:10" x14ac:dyDescent="0.35">
      <c r="A29" t="s">
        <v>193</v>
      </c>
      <c r="B29" t="s">
        <v>203</v>
      </c>
      <c r="C29">
        <v>-115</v>
      </c>
      <c r="D29" t="s">
        <v>130</v>
      </c>
      <c r="E29" t="s">
        <v>204</v>
      </c>
      <c r="F29" s="5" t="s">
        <v>180</v>
      </c>
      <c r="G29" t="s">
        <v>201</v>
      </c>
      <c r="H29" t="s">
        <v>202</v>
      </c>
      <c r="I29">
        <f>INT(Estee_Lauder_France[[#This Row],[price]])</f>
        <v>119</v>
      </c>
      <c r="J29">
        <f>INT(Estee_Lauder_France[[#This Row],[price per ml]])</f>
        <v>2</v>
      </c>
    </row>
    <row r="30" spans="1:10" x14ac:dyDescent="0.35">
      <c r="A30" t="s">
        <v>193</v>
      </c>
      <c r="B30" t="s">
        <v>211</v>
      </c>
      <c r="C30">
        <v>-335</v>
      </c>
      <c r="D30" t="s">
        <v>130</v>
      </c>
      <c r="E30" t="s">
        <v>212</v>
      </c>
      <c r="F30" s="5" t="s">
        <v>180</v>
      </c>
      <c r="G30" t="s">
        <v>201</v>
      </c>
      <c r="H30" t="s">
        <v>202</v>
      </c>
      <c r="I30">
        <f>INT(Estee_Lauder_France[[#This Row],[price]])</f>
        <v>119</v>
      </c>
      <c r="J30">
        <f>INT(Estee_Lauder_France[[#This Row],[price per ml]])</f>
        <v>2</v>
      </c>
    </row>
    <row r="31" spans="1:10" x14ac:dyDescent="0.35">
      <c r="A31" t="s">
        <v>128</v>
      </c>
      <c r="B31" t="s">
        <v>242</v>
      </c>
      <c r="C31">
        <v>-7</v>
      </c>
      <c r="D31" t="s">
        <v>130</v>
      </c>
      <c r="E31" t="s">
        <v>135</v>
      </c>
      <c r="F31" s="5" t="s">
        <v>180</v>
      </c>
      <c r="G31" t="s">
        <v>142</v>
      </c>
      <c r="H31" t="s">
        <v>181</v>
      </c>
      <c r="I31">
        <f>INT(Estee_Lauder_France[[#This Row],[price]])</f>
        <v>119</v>
      </c>
      <c r="J31">
        <f>INT(Estee_Lauder_France[[#This Row],[price per ml]])</f>
        <v>2</v>
      </c>
    </row>
    <row r="32" spans="1:10" x14ac:dyDescent="0.35">
      <c r="A32" t="s">
        <v>128</v>
      </c>
      <c r="B32" t="s">
        <v>254</v>
      </c>
      <c r="C32">
        <v>-12</v>
      </c>
      <c r="D32" t="s">
        <v>130</v>
      </c>
      <c r="E32" t="s">
        <v>255</v>
      </c>
      <c r="F32" s="5" t="s">
        <v>180</v>
      </c>
      <c r="G32" t="s">
        <v>142</v>
      </c>
      <c r="H32" t="s">
        <v>181</v>
      </c>
      <c r="I32">
        <f>INT(Estee_Lauder_France[[#This Row],[price]])</f>
        <v>119</v>
      </c>
      <c r="J32">
        <f>INT(Estee_Lauder_France[[#This Row],[price per ml]])</f>
        <v>2</v>
      </c>
    </row>
    <row r="33" spans="1:10" x14ac:dyDescent="0.35">
      <c r="A33" t="s">
        <v>128</v>
      </c>
      <c r="B33" t="s">
        <v>264</v>
      </c>
      <c r="C33">
        <v>-1</v>
      </c>
      <c r="D33" t="s">
        <v>130</v>
      </c>
      <c r="E33" t="s">
        <v>265</v>
      </c>
      <c r="F33" s="5" t="s">
        <v>180</v>
      </c>
      <c r="G33" t="s">
        <v>142</v>
      </c>
      <c r="H33" t="s">
        <v>181</v>
      </c>
      <c r="I33">
        <f>INT(Estee_Lauder_France[[#This Row],[price]])</f>
        <v>119</v>
      </c>
      <c r="J33">
        <f>INT(Estee_Lauder_France[[#This Row],[price per ml]])</f>
        <v>2</v>
      </c>
    </row>
    <row r="34" spans="1:10" x14ac:dyDescent="0.35">
      <c r="A34" t="s">
        <v>133</v>
      </c>
      <c r="B34" t="s">
        <v>312</v>
      </c>
      <c r="C34">
        <v>-12</v>
      </c>
      <c r="D34" t="s">
        <v>130</v>
      </c>
      <c r="E34" t="s">
        <v>313</v>
      </c>
      <c r="F34" s="5" t="s">
        <v>180</v>
      </c>
      <c r="G34" t="s">
        <v>201</v>
      </c>
      <c r="H34" t="s">
        <v>202</v>
      </c>
      <c r="I34">
        <f>INT(Estee_Lauder_France[[#This Row],[price]])</f>
        <v>119</v>
      </c>
      <c r="J34">
        <f>INT(Estee_Lauder_France[[#This Row],[price per ml]])</f>
        <v>2</v>
      </c>
    </row>
    <row r="35" spans="1:10" x14ac:dyDescent="0.35">
      <c r="A35" t="s">
        <v>128</v>
      </c>
      <c r="B35" t="s">
        <v>325</v>
      </c>
      <c r="C35">
        <v>-8</v>
      </c>
      <c r="D35" t="s">
        <v>282</v>
      </c>
      <c r="E35" t="s">
        <v>214</v>
      </c>
      <c r="F35" s="5" t="s">
        <v>180</v>
      </c>
      <c r="G35" t="s">
        <v>142</v>
      </c>
      <c r="H35" t="s">
        <v>181</v>
      </c>
      <c r="I35">
        <f>INT(Estee_Lauder_France[[#This Row],[price]])</f>
        <v>119</v>
      </c>
      <c r="J35">
        <f>INT(Estee_Lauder_France[[#This Row],[price per ml]])</f>
        <v>2</v>
      </c>
    </row>
    <row r="36" spans="1:10" x14ac:dyDescent="0.35">
      <c r="A36" t="s">
        <v>128</v>
      </c>
      <c r="B36" t="s">
        <v>281</v>
      </c>
      <c r="C36">
        <v>-10</v>
      </c>
      <c r="D36" t="s">
        <v>282</v>
      </c>
      <c r="E36" t="s">
        <v>135</v>
      </c>
      <c r="F36" s="5" t="s">
        <v>283</v>
      </c>
      <c r="G36" t="s">
        <v>284</v>
      </c>
      <c r="H36" t="s">
        <v>285</v>
      </c>
      <c r="I36">
        <f>INT(Estee_Lauder_France[[#This Row],[price]])</f>
        <v>117</v>
      </c>
      <c r="J36">
        <f>INT(Estee_Lauder_France[[#This Row],[price per ml]])</f>
        <v>1</v>
      </c>
    </row>
    <row r="37" spans="1:10" x14ac:dyDescent="0.35">
      <c r="A37" t="s">
        <v>128</v>
      </c>
      <c r="B37" t="s">
        <v>205</v>
      </c>
      <c r="C37">
        <v>0</v>
      </c>
      <c r="D37" t="s">
        <v>130</v>
      </c>
      <c r="E37" t="s">
        <v>206</v>
      </c>
      <c r="F37" s="5" t="s">
        <v>207</v>
      </c>
      <c r="G37" t="s">
        <v>208</v>
      </c>
      <c r="H37" t="s">
        <v>209</v>
      </c>
      <c r="I37">
        <f>INT(Estee_Lauder_France[[#This Row],[price]])</f>
        <v>106</v>
      </c>
      <c r="J37">
        <f>INT(Estee_Lauder_France[[#This Row],[price per ml]])</f>
        <v>3</v>
      </c>
    </row>
    <row r="38" spans="1:10" x14ac:dyDescent="0.35">
      <c r="A38" t="s">
        <v>133</v>
      </c>
      <c r="B38" t="s">
        <v>139</v>
      </c>
      <c r="C38">
        <v>-3</v>
      </c>
      <c r="D38" t="s">
        <v>130</v>
      </c>
      <c r="E38" t="s">
        <v>140</v>
      </c>
      <c r="F38" s="5" t="s">
        <v>141</v>
      </c>
      <c r="G38" t="s">
        <v>142</v>
      </c>
      <c r="H38" t="s">
        <v>143</v>
      </c>
      <c r="I38">
        <f>INT(Estee_Lauder_France[[#This Row],[price]])</f>
        <v>100</v>
      </c>
      <c r="J38">
        <f>INT(Estee_Lauder_France[[#This Row],[price per ml]])</f>
        <v>2</v>
      </c>
    </row>
    <row r="39" spans="1:10" x14ac:dyDescent="0.35">
      <c r="A39" t="s">
        <v>133</v>
      </c>
      <c r="B39" t="s">
        <v>144</v>
      </c>
      <c r="C39">
        <v>-46</v>
      </c>
      <c r="D39" t="s">
        <v>130</v>
      </c>
      <c r="E39" t="s">
        <v>145</v>
      </c>
      <c r="F39" s="5" t="s">
        <v>146</v>
      </c>
      <c r="G39" t="s">
        <v>142</v>
      </c>
      <c r="H39" t="s">
        <v>147</v>
      </c>
      <c r="I39">
        <f>INT(Estee_Lauder_France[[#This Row],[price]])</f>
        <v>98</v>
      </c>
      <c r="J39">
        <f>INT(Estee_Lauder_France[[#This Row],[price per ml]])</f>
        <v>1</v>
      </c>
    </row>
    <row r="40" spans="1:10" x14ac:dyDescent="0.35">
      <c r="A40" t="s">
        <v>128</v>
      </c>
      <c r="B40" t="s">
        <v>160</v>
      </c>
      <c r="C40">
        <v>0</v>
      </c>
      <c r="D40" t="s">
        <v>130</v>
      </c>
      <c r="E40" t="s">
        <v>161</v>
      </c>
      <c r="F40" s="5" t="s">
        <v>146</v>
      </c>
      <c r="G40" t="s">
        <v>142</v>
      </c>
      <c r="H40" t="s">
        <v>147</v>
      </c>
      <c r="I40">
        <f>INT(Estee_Lauder_France[[#This Row],[price]])</f>
        <v>98</v>
      </c>
      <c r="J40">
        <f>INT(Estee_Lauder_France[[#This Row],[price per ml]])</f>
        <v>1</v>
      </c>
    </row>
    <row r="41" spans="1:10" x14ac:dyDescent="0.35">
      <c r="A41" t="s">
        <v>128</v>
      </c>
      <c r="B41" t="s">
        <v>309</v>
      </c>
      <c r="C41">
        <v>0</v>
      </c>
      <c r="D41" t="s">
        <v>282</v>
      </c>
      <c r="E41" t="s">
        <v>135</v>
      </c>
      <c r="F41" s="5" t="s">
        <v>146</v>
      </c>
      <c r="G41" t="s">
        <v>142</v>
      </c>
      <c r="H41" t="s">
        <v>147</v>
      </c>
      <c r="I41">
        <f>INT(Estee_Lauder_France[[#This Row],[price]])</f>
        <v>98</v>
      </c>
      <c r="J41">
        <f>INT(Estee_Lauder_France[[#This Row],[price per ml]])</f>
        <v>1</v>
      </c>
    </row>
    <row r="42" spans="1:10" x14ac:dyDescent="0.35">
      <c r="A42" t="s">
        <v>128</v>
      </c>
      <c r="B42" t="s">
        <v>258</v>
      </c>
      <c r="C42">
        <v>-1</v>
      </c>
      <c r="D42" t="s">
        <v>130</v>
      </c>
      <c r="E42" t="s">
        <v>259</v>
      </c>
      <c r="F42" s="5" t="s">
        <v>260</v>
      </c>
      <c r="G42" t="s">
        <v>137</v>
      </c>
      <c r="H42" t="s">
        <v>261</v>
      </c>
      <c r="I42">
        <f>INT(Estee_Lauder_France[[#This Row],[price]])</f>
        <v>94</v>
      </c>
      <c r="J42">
        <f>INT(Estee_Lauder_France[[#This Row],[price per ml]])</f>
        <v>0</v>
      </c>
    </row>
    <row r="43" spans="1:10" x14ac:dyDescent="0.35">
      <c r="A43" t="s">
        <v>128</v>
      </c>
      <c r="B43" t="s">
        <v>170</v>
      </c>
      <c r="C43">
        <v>0</v>
      </c>
      <c r="D43" t="s">
        <v>130</v>
      </c>
      <c r="E43" t="s">
        <v>135</v>
      </c>
      <c r="F43" s="5" t="s">
        <v>171</v>
      </c>
      <c r="G43" t="s">
        <v>137</v>
      </c>
      <c r="H43" t="s">
        <v>172</v>
      </c>
      <c r="I43">
        <f>INT(Estee_Lauder_France[[#This Row],[price]])</f>
        <v>92</v>
      </c>
      <c r="J43">
        <f>INT(Estee_Lauder_France[[#This Row],[price per ml]])</f>
        <v>0</v>
      </c>
    </row>
    <row r="44" spans="1:10" x14ac:dyDescent="0.35">
      <c r="A44" t="s">
        <v>193</v>
      </c>
      <c r="B44" t="s">
        <v>213</v>
      </c>
      <c r="C44">
        <v>-10</v>
      </c>
      <c r="D44" t="s">
        <v>130</v>
      </c>
      <c r="E44" t="s">
        <v>214</v>
      </c>
      <c r="F44" s="5" t="s">
        <v>215</v>
      </c>
      <c r="G44" t="s">
        <v>208</v>
      </c>
      <c r="H44" t="s">
        <v>216</v>
      </c>
      <c r="I44">
        <f>INT(Estee_Lauder_France[[#This Row],[price]])</f>
        <v>89</v>
      </c>
      <c r="J44">
        <f>INT(Estee_Lauder_France[[#This Row],[price per ml]])</f>
        <v>2</v>
      </c>
    </row>
    <row r="45" spans="1:10" x14ac:dyDescent="0.35">
      <c r="A45" t="s">
        <v>128</v>
      </c>
      <c r="B45" t="s">
        <v>129</v>
      </c>
      <c r="C45">
        <v>-4</v>
      </c>
      <c r="D45" t="s">
        <v>130</v>
      </c>
      <c r="E45" t="s">
        <v>131</v>
      </c>
      <c r="F45" s="5" t="s">
        <v>132</v>
      </c>
      <c r="I45">
        <f>INT(Estee_Lauder_France[[#This Row],[price]])</f>
        <v>87</v>
      </c>
      <c r="J45">
        <f>INT(Estee_Lauder_France[[#This Row],[price per ml]])</f>
        <v>0</v>
      </c>
    </row>
    <row r="46" spans="1:10" x14ac:dyDescent="0.35">
      <c r="A46" t="s">
        <v>128</v>
      </c>
      <c r="B46" t="s">
        <v>266</v>
      </c>
      <c r="C46">
        <v>0</v>
      </c>
      <c r="D46" t="s">
        <v>130</v>
      </c>
      <c r="E46" t="s">
        <v>174</v>
      </c>
      <c r="F46" s="5" t="s">
        <v>267</v>
      </c>
      <c r="G46" t="s">
        <v>176</v>
      </c>
      <c r="H46" t="s">
        <v>268</v>
      </c>
      <c r="I46">
        <f>INT(Estee_Lauder_France[[#This Row],[price]])</f>
        <v>84</v>
      </c>
      <c r="J46">
        <f>INT(Estee_Lauder_France[[#This Row],[price per ml]])</f>
        <v>0</v>
      </c>
    </row>
    <row r="47" spans="1:10" x14ac:dyDescent="0.35">
      <c r="A47" t="s">
        <v>133</v>
      </c>
      <c r="B47" t="s">
        <v>224</v>
      </c>
      <c r="C47">
        <v>-4</v>
      </c>
      <c r="D47" t="s">
        <v>130</v>
      </c>
      <c r="E47" t="s">
        <v>225</v>
      </c>
      <c r="F47" s="5" t="s">
        <v>226</v>
      </c>
      <c r="G47" t="s">
        <v>208</v>
      </c>
      <c r="H47" t="s">
        <v>227</v>
      </c>
      <c r="I47">
        <f>INT(Estee_Lauder_France[[#This Row],[price]])</f>
        <v>81</v>
      </c>
      <c r="J47">
        <f>INT(Estee_Lauder_France[[#This Row],[price per ml]])</f>
        <v>2</v>
      </c>
    </row>
    <row r="48" spans="1:10" x14ac:dyDescent="0.35">
      <c r="A48" t="s">
        <v>128</v>
      </c>
      <c r="B48" t="s">
        <v>326</v>
      </c>
      <c r="C48">
        <v>0</v>
      </c>
      <c r="D48" t="s">
        <v>282</v>
      </c>
      <c r="E48" t="s">
        <v>327</v>
      </c>
      <c r="F48" s="5" t="s">
        <v>328</v>
      </c>
      <c r="G48" t="s">
        <v>191</v>
      </c>
      <c r="H48" t="s">
        <v>276</v>
      </c>
      <c r="I48">
        <f>INT(Estee_Lauder_France[[#This Row],[price]])</f>
        <v>80</v>
      </c>
      <c r="J48">
        <f>INT(Estee_Lauder_France[[#This Row],[price per ml]])</f>
        <v>0</v>
      </c>
    </row>
    <row r="49" spans="1:10" x14ac:dyDescent="0.35">
      <c r="A49" t="s">
        <v>128</v>
      </c>
      <c r="B49" t="s">
        <v>173</v>
      </c>
      <c r="C49">
        <v>-1</v>
      </c>
      <c r="D49" t="s">
        <v>130</v>
      </c>
      <c r="E49" t="s">
        <v>174</v>
      </c>
      <c r="F49" s="5" t="s">
        <v>175</v>
      </c>
      <c r="G49" t="s">
        <v>176</v>
      </c>
      <c r="H49" t="s">
        <v>177</v>
      </c>
      <c r="I49">
        <f>INT(Estee_Lauder_France[[#This Row],[price]])</f>
        <v>79</v>
      </c>
      <c r="J49">
        <f>INT(Estee_Lauder_France[[#This Row],[price per ml]])</f>
        <v>0</v>
      </c>
    </row>
    <row r="50" spans="1:10" x14ac:dyDescent="0.35">
      <c r="A50" t="s">
        <v>128</v>
      </c>
      <c r="B50" t="s">
        <v>273</v>
      </c>
      <c r="C50">
        <v>-5</v>
      </c>
      <c r="D50" t="s">
        <v>130</v>
      </c>
      <c r="E50" t="s">
        <v>274</v>
      </c>
      <c r="F50" s="5" t="s">
        <v>175</v>
      </c>
      <c r="G50" t="s">
        <v>275</v>
      </c>
      <c r="H50" t="s">
        <v>276</v>
      </c>
      <c r="I50">
        <f>INT(Estee_Lauder_France[[#This Row],[price]])</f>
        <v>79</v>
      </c>
      <c r="J50">
        <f>INT(Estee_Lauder_France[[#This Row],[price per ml]])</f>
        <v>0</v>
      </c>
    </row>
    <row r="51" spans="1:10" x14ac:dyDescent="0.35">
      <c r="A51" t="s">
        <v>128</v>
      </c>
      <c r="B51" t="s">
        <v>162</v>
      </c>
      <c r="C51">
        <v>-1</v>
      </c>
      <c r="D51" t="s">
        <v>130</v>
      </c>
      <c r="E51" t="s">
        <v>163</v>
      </c>
      <c r="F51" s="5" t="s">
        <v>164</v>
      </c>
      <c r="G51" t="s">
        <v>142</v>
      </c>
      <c r="H51" t="s">
        <v>165</v>
      </c>
      <c r="I51">
        <f>INT(Estee_Lauder_France[[#This Row],[price]])</f>
        <v>78</v>
      </c>
      <c r="J51">
        <f>INT(Estee_Lauder_France[[#This Row],[price per ml]])</f>
        <v>1</v>
      </c>
    </row>
    <row r="52" spans="1:10" x14ac:dyDescent="0.35">
      <c r="A52" t="s">
        <v>128</v>
      </c>
      <c r="B52" t="s">
        <v>237</v>
      </c>
      <c r="C52">
        <v>0</v>
      </c>
      <c r="D52" t="s">
        <v>130</v>
      </c>
      <c r="E52" t="s">
        <v>135</v>
      </c>
      <c r="F52" s="5" t="s">
        <v>164</v>
      </c>
      <c r="G52" t="s">
        <v>238</v>
      </c>
      <c r="H52" t="s">
        <v>239</v>
      </c>
      <c r="I52">
        <f>INT(Estee_Lauder_France[[#This Row],[price]])</f>
        <v>78</v>
      </c>
      <c r="J52">
        <f>INT(Estee_Lauder_France[[#This Row],[price per ml]])</f>
        <v>0</v>
      </c>
    </row>
    <row r="53" spans="1:10" x14ac:dyDescent="0.35">
      <c r="A53" t="s">
        <v>128</v>
      </c>
      <c r="B53" t="s">
        <v>256</v>
      </c>
      <c r="C53">
        <v>0</v>
      </c>
      <c r="D53" t="s">
        <v>130</v>
      </c>
      <c r="E53" t="s">
        <v>257</v>
      </c>
      <c r="F53" s="5" t="s">
        <v>164</v>
      </c>
      <c r="G53" t="s">
        <v>238</v>
      </c>
      <c r="H53" t="s">
        <v>239</v>
      </c>
      <c r="I53">
        <f>INT(Estee_Lauder_France[[#This Row],[price]])</f>
        <v>78</v>
      </c>
      <c r="J53">
        <f>INT(Estee_Lauder_France[[#This Row],[price per ml]])</f>
        <v>0</v>
      </c>
    </row>
    <row r="54" spans="1:10" x14ac:dyDescent="0.35">
      <c r="A54" t="s">
        <v>128</v>
      </c>
      <c r="B54" t="s">
        <v>262</v>
      </c>
      <c r="C54">
        <v>0</v>
      </c>
      <c r="D54" t="s">
        <v>130</v>
      </c>
      <c r="E54" t="s">
        <v>263</v>
      </c>
      <c r="F54" s="5" t="s">
        <v>164</v>
      </c>
      <c r="G54" t="s">
        <v>238</v>
      </c>
      <c r="H54" t="s">
        <v>239</v>
      </c>
      <c r="I54">
        <f>INT(Estee_Lauder_France[[#This Row],[price]])</f>
        <v>78</v>
      </c>
      <c r="J54">
        <f>INT(Estee_Lauder_France[[#This Row],[price per ml]])</f>
        <v>0</v>
      </c>
    </row>
    <row r="55" spans="1:10" x14ac:dyDescent="0.35">
      <c r="A55" t="s">
        <v>128</v>
      </c>
      <c r="B55" t="s">
        <v>184</v>
      </c>
      <c r="C55">
        <v>0</v>
      </c>
      <c r="D55" t="s">
        <v>130</v>
      </c>
      <c r="E55" t="s">
        <v>185</v>
      </c>
      <c r="F55" s="5" t="s">
        <v>186</v>
      </c>
      <c r="G55" t="s">
        <v>142</v>
      </c>
      <c r="H55" t="s">
        <v>187</v>
      </c>
      <c r="I55">
        <f>INT(Estee_Lauder_France[[#This Row],[price]])</f>
        <v>66</v>
      </c>
      <c r="J55">
        <f>INT(Estee_Lauder_France[[#This Row],[price per ml]])</f>
        <v>1</v>
      </c>
    </row>
    <row r="56" spans="1:10" x14ac:dyDescent="0.35">
      <c r="A56" t="s">
        <v>128</v>
      </c>
      <c r="B56" t="s">
        <v>188</v>
      </c>
      <c r="C56">
        <v>0</v>
      </c>
      <c r="D56" t="s">
        <v>130</v>
      </c>
      <c r="E56" t="s">
        <v>189</v>
      </c>
      <c r="F56" s="5" t="s">
        <v>190</v>
      </c>
      <c r="G56" t="s">
        <v>191</v>
      </c>
      <c r="H56" t="s">
        <v>192</v>
      </c>
      <c r="I56">
        <f>INT(Estee_Lauder_France[[#This Row],[price]])</f>
        <v>65</v>
      </c>
      <c r="J56">
        <f>INT(Estee_Lauder_France[[#This Row],[price per ml]])</f>
        <v>0</v>
      </c>
    </row>
    <row r="57" spans="1:10" x14ac:dyDescent="0.35">
      <c r="A57" t="s">
        <v>128</v>
      </c>
      <c r="B57" t="s">
        <v>338</v>
      </c>
      <c r="C57">
        <v>0</v>
      </c>
      <c r="D57" t="s">
        <v>282</v>
      </c>
      <c r="E57" t="s">
        <v>339</v>
      </c>
      <c r="F57" s="5" t="s">
        <v>340</v>
      </c>
      <c r="G57" t="s">
        <v>238</v>
      </c>
      <c r="H57" t="s">
        <v>341</v>
      </c>
      <c r="I57">
        <f>INT(Estee_Lauder_France[[#This Row],[price]])</f>
        <v>62</v>
      </c>
      <c r="J57">
        <f>INT(Estee_Lauder_France[[#This Row],[price per ml]])</f>
        <v>0</v>
      </c>
    </row>
    <row r="58" spans="1:10" x14ac:dyDescent="0.35">
      <c r="A58" t="s">
        <v>128</v>
      </c>
      <c r="B58" t="s">
        <v>346</v>
      </c>
      <c r="C58">
        <v>0</v>
      </c>
      <c r="D58" t="s">
        <v>282</v>
      </c>
      <c r="E58" t="s">
        <v>174</v>
      </c>
      <c r="F58" s="5" t="s">
        <v>347</v>
      </c>
      <c r="G58" t="s">
        <v>238</v>
      </c>
      <c r="H58" t="s">
        <v>348</v>
      </c>
      <c r="I58">
        <f>INT(Estee_Lauder_France[[#This Row],[price]])</f>
        <v>58</v>
      </c>
      <c r="J58">
        <f>INT(Estee_Lauder_France[[#This Row],[price per ml]])</f>
        <v>0</v>
      </c>
    </row>
    <row r="59" spans="1:10" x14ac:dyDescent="0.35">
      <c r="A59" t="s">
        <v>128</v>
      </c>
      <c r="B59" t="s">
        <v>314</v>
      </c>
      <c r="C59">
        <v>-2</v>
      </c>
      <c r="D59" t="s">
        <v>282</v>
      </c>
      <c r="E59" t="s">
        <v>315</v>
      </c>
      <c r="F59" s="5" t="s">
        <v>316</v>
      </c>
      <c r="G59" t="s">
        <v>154</v>
      </c>
      <c r="H59" t="s">
        <v>317</v>
      </c>
      <c r="I59">
        <f>INT(Estee_Lauder_France[[#This Row],[price]])</f>
        <v>56</v>
      </c>
      <c r="J59">
        <f>INT(Estee_Lauder_France[[#This Row],[price per ml]])</f>
        <v>0</v>
      </c>
    </row>
    <row r="60" spans="1:10" x14ac:dyDescent="0.35">
      <c r="A60" t="s">
        <v>128</v>
      </c>
      <c r="B60" t="s">
        <v>269</v>
      </c>
      <c r="C60">
        <v>-1</v>
      </c>
      <c r="D60" t="s">
        <v>130</v>
      </c>
      <c r="E60" t="s">
        <v>270</v>
      </c>
      <c r="F60" s="5" t="s">
        <v>271</v>
      </c>
      <c r="G60" t="s">
        <v>150</v>
      </c>
      <c r="H60" t="s">
        <v>272</v>
      </c>
      <c r="I60">
        <f>INT(Estee_Lauder_France[[#This Row],[price]])</f>
        <v>41</v>
      </c>
      <c r="J60">
        <f>INT(Estee_Lauder_France[[#This Row],[price per ml]])</f>
        <v>0</v>
      </c>
    </row>
    <row r="61" spans="1:10" x14ac:dyDescent="0.35">
      <c r="A61" t="s">
        <v>133</v>
      </c>
      <c r="B61" t="s">
        <v>320</v>
      </c>
      <c r="C61">
        <v>-3</v>
      </c>
      <c r="D61" t="s">
        <v>130</v>
      </c>
      <c r="E61" t="s">
        <v>321</v>
      </c>
      <c r="F61" s="5" t="s">
        <v>322</v>
      </c>
      <c r="G61" t="s">
        <v>323</v>
      </c>
      <c r="H61" t="s">
        <v>324</v>
      </c>
      <c r="I61">
        <f>INT(Estee_Lauder_France[[#This Row],[price]])</f>
        <v>40</v>
      </c>
      <c r="J61">
        <f>INT(Estee_Lauder_France[[#This Row],[price per ml]])</f>
        <v>5</v>
      </c>
    </row>
    <row r="62" spans="1:10" x14ac:dyDescent="0.35">
      <c r="A62" t="s">
        <v>128</v>
      </c>
      <c r="B62" t="s">
        <v>329</v>
      </c>
      <c r="C62">
        <v>0</v>
      </c>
      <c r="D62" t="s">
        <v>282</v>
      </c>
      <c r="E62" t="s">
        <v>135</v>
      </c>
      <c r="F62" s="5" t="s">
        <v>322</v>
      </c>
      <c r="G62" t="s">
        <v>191</v>
      </c>
      <c r="H62" t="s">
        <v>330</v>
      </c>
      <c r="I62">
        <f>INT(Estee_Lauder_France[[#This Row],[price]])</f>
        <v>40</v>
      </c>
      <c r="J62">
        <f>INT(Estee_Lauder_France[[#This Row],[price per ml]])</f>
        <v>0</v>
      </c>
    </row>
    <row r="63" spans="1:10" x14ac:dyDescent="0.35">
      <c r="A63" t="s">
        <v>128</v>
      </c>
      <c r="B63" t="s">
        <v>331</v>
      </c>
      <c r="C63">
        <v>-335</v>
      </c>
      <c r="D63" t="s">
        <v>282</v>
      </c>
      <c r="E63" t="s">
        <v>212</v>
      </c>
      <c r="F63" s="5" t="s">
        <v>332</v>
      </c>
      <c r="G63" t="s">
        <v>333</v>
      </c>
      <c r="H63" t="s">
        <v>334</v>
      </c>
      <c r="I63">
        <f>INT(Estee_Lauder_France[[#This Row],[price]])</f>
        <v>39</v>
      </c>
      <c r="J63">
        <f>INT(Estee_Lauder_France[[#This Row],[price per ml]])</f>
        <v>3</v>
      </c>
    </row>
    <row r="64" spans="1:10" x14ac:dyDescent="0.35">
      <c r="A64" t="s">
        <v>193</v>
      </c>
      <c r="B64" t="s">
        <v>337</v>
      </c>
      <c r="C64">
        <v>-12</v>
      </c>
      <c r="D64" t="s">
        <v>130</v>
      </c>
      <c r="E64" t="s">
        <v>313</v>
      </c>
      <c r="F64" s="5" t="s">
        <v>332</v>
      </c>
      <c r="G64" t="s">
        <v>333</v>
      </c>
      <c r="H64" t="s">
        <v>334</v>
      </c>
      <c r="I64">
        <f>INT(Estee_Lauder_France[[#This Row],[price]])</f>
        <v>39</v>
      </c>
      <c r="J64">
        <f>INT(Estee_Lauder_France[[#This Row],[price per ml]])</f>
        <v>3</v>
      </c>
    </row>
    <row r="65" spans="1:10" x14ac:dyDescent="0.35">
      <c r="A65" t="s">
        <v>193</v>
      </c>
      <c r="B65" t="s">
        <v>194</v>
      </c>
      <c r="C65">
        <v>0</v>
      </c>
      <c r="D65" t="s">
        <v>130</v>
      </c>
      <c r="E65" t="s">
        <v>135</v>
      </c>
      <c r="F65" s="5" t="s">
        <v>195</v>
      </c>
      <c r="G65" t="s">
        <v>196</v>
      </c>
      <c r="H65" t="s">
        <v>197</v>
      </c>
      <c r="I65">
        <f>INT(Estee_Lauder_France[[#This Row],[price]])</f>
        <v>33</v>
      </c>
      <c r="J65">
        <f>INT(Estee_Lauder_France[[#This Row],[price per ml]])</f>
        <v>8</v>
      </c>
    </row>
    <row r="66" spans="1:10" x14ac:dyDescent="0.35">
      <c r="A66" t="s">
        <v>193</v>
      </c>
      <c r="B66" t="s">
        <v>198</v>
      </c>
      <c r="C66">
        <v>-1</v>
      </c>
      <c r="D66" t="s">
        <v>130</v>
      </c>
      <c r="E66" t="s">
        <v>135</v>
      </c>
      <c r="F66" s="5" t="s">
        <v>195</v>
      </c>
      <c r="G66" t="s">
        <v>196</v>
      </c>
      <c r="H66" t="s">
        <v>197</v>
      </c>
      <c r="I66">
        <f>INT(Estee_Lauder_France[[#This Row],[price]])</f>
        <v>33</v>
      </c>
      <c r="J66">
        <f>INT(Estee_Lauder_France[[#This Row],[price per ml]])</f>
        <v>8</v>
      </c>
    </row>
    <row r="67" spans="1:10" x14ac:dyDescent="0.35">
      <c r="A67" t="s">
        <v>193</v>
      </c>
      <c r="B67" t="s">
        <v>210</v>
      </c>
      <c r="C67">
        <v>-1</v>
      </c>
      <c r="D67" t="s">
        <v>130</v>
      </c>
      <c r="E67" t="s">
        <v>135</v>
      </c>
      <c r="F67" s="5" t="s">
        <v>195</v>
      </c>
      <c r="G67" t="s">
        <v>196</v>
      </c>
      <c r="H67" t="s">
        <v>197</v>
      </c>
      <c r="I67">
        <f>INT(Estee_Lauder_France[[#This Row],[price]])</f>
        <v>33</v>
      </c>
      <c r="J67">
        <f>INT(Estee_Lauder_France[[#This Row],[price per ml]])</f>
        <v>8</v>
      </c>
    </row>
    <row r="68" spans="1:10" x14ac:dyDescent="0.35">
      <c r="A68" t="s">
        <v>193</v>
      </c>
      <c r="B68" t="s">
        <v>217</v>
      </c>
      <c r="C68">
        <v>0</v>
      </c>
      <c r="D68" t="s">
        <v>130</v>
      </c>
      <c r="E68" t="s">
        <v>218</v>
      </c>
      <c r="F68" s="5" t="s">
        <v>195</v>
      </c>
      <c r="G68" t="s">
        <v>196</v>
      </c>
      <c r="H68" t="s">
        <v>197</v>
      </c>
      <c r="I68">
        <f>INT(Estee_Lauder_France[[#This Row],[price]])</f>
        <v>33</v>
      </c>
      <c r="J68">
        <f>INT(Estee_Lauder_France[[#This Row],[price per ml]])</f>
        <v>8</v>
      </c>
    </row>
    <row r="69" spans="1:10" x14ac:dyDescent="0.35">
      <c r="A69" t="s">
        <v>193</v>
      </c>
      <c r="B69" t="s">
        <v>243</v>
      </c>
      <c r="C69">
        <v>0</v>
      </c>
      <c r="D69" t="s">
        <v>130</v>
      </c>
      <c r="E69" t="s">
        <v>135</v>
      </c>
      <c r="F69" s="5" t="s">
        <v>195</v>
      </c>
      <c r="G69" t="s">
        <v>196</v>
      </c>
      <c r="H69" t="s">
        <v>197</v>
      </c>
      <c r="I69">
        <f>INT(Estee_Lauder_France[[#This Row],[price]])</f>
        <v>33</v>
      </c>
      <c r="J69">
        <f>INT(Estee_Lauder_France[[#This Row],[price per ml]])</f>
        <v>8</v>
      </c>
    </row>
    <row r="70" spans="1:10" x14ac:dyDescent="0.35">
      <c r="A70" t="s">
        <v>193</v>
      </c>
      <c r="B70" t="s">
        <v>293</v>
      </c>
      <c r="C70">
        <v>-127</v>
      </c>
      <c r="D70" t="s">
        <v>130</v>
      </c>
      <c r="E70" t="s">
        <v>294</v>
      </c>
      <c r="F70" s="5" t="s">
        <v>295</v>
      </c>
      <c r="G70" t="s">
        <v>196</v>
      </c>
      <c r="H70" t="s">
        <v>296</v>
      </c>
      <c r="I70">
        <f>INT(Estee_Lauder_France[[#This Row],[price]])</f>
        <v>27</v>
      </c>
      <c r="J70">
        <f>INT(Estee_Lauder_France[[#This Row],[price per ml]])</f>
        <v>6</v>
      </c>
    </row>
    <row r="71" spans="1:10" x14ac:dyDescent="0.35">
      <c r="A71" t="s">
        <v>128</v>
      </c>
      <c r="B71" t="s">
        <v>335</v>
      </c>
      <c r="C71">
        <v>-56</v>
      </c>
      <c r="D71" t="s">
        <v>282</v>
      </c>
      <c r="E71" t="s">
        <v>200</v>
      </c>
      <c r="F71" s="5" t="s">
        <v>295</v>
      </c>
      <c r="G71" t="s">
        <v>196</v>
      </c>
      <c r="H71" t="s">
        <v>296</v>
      </c>
      <c r="I71">
        <f>INT(Estee_Lauder_France[[#This Row],[price]])</f>
        <v>27</v>
      </c>
      <c r="J71">
        <f>INT(Estee_Lauder_France[[#This Row],[price per ml]])</f>
        <v>6</v>
      </c>
    </row>
    <row r="72" spans="1:10" x14ac:dyDescent="0.35">
      <c r="A72" t="s">
        <v>128</v>
      </c>
      <c r="B72" t="s">
        <v>336</v>
      </c>
      <c r="C72">
        <v>-85</v>
      </c>
      <c r="D72" t="s">
        <v>282</v>
      </c>
      <c r="E72" t="s">
        <v>319</v>
      </c>
      <c r="F72" s="5" t="s">
        <v>295</v>
      </c>
      <c r="G72" t="s">
        <v>196</v>
      </c>
      <c r="H72" t="s">
        <v>296</v>
      </c>
      <c r="I72">
        <f>INT(Estee_Lauder_France[[#This Row],[price]])</f>
        <v>27</v>
      </c>
      <c r="J72">
        <f>INT(Estee_Lauder_France[[#This Row],[price per ml]])</f>
        <v>6</v>
      </c>
    </row>
    <row r="73" spans="1:10" x14ac:dyDescent="0.35">
      <c r="A73" t="s">
        <v>128</v>
      </c>
      <c r="B73" t="s">
        <v>250</v>
      </c>
      <c r="C73">
        <v>0</v>
      </c>
      <c r="D73" t="s">
        <v>130</v>
      </c>
      <c r="E73" t="s">
        <v>251</v>
      </c>
      <c r="F73" s="5" t="s">
        <v>252</v>
      </c>
      <c r="G73" t="s">
        <v>208</v>
      </c>
      <c r="H73" t="s">
        <v>253</v>
      </c>
      <c r="I73">
        <f>INT(Estee_Lauder_France[[#This Row],[price]])</f>
        <v>26</v>
      </c>
      <c r="J73">
        <f>INT(Estee_Lauder_France[[#This Row],[price per ml]])</f>
        <v>0</v>
      </c>
    </row>
    <row r="74" spans="1:10" x14ac:dyDescent="0.35">
      <c r="A74" t="s">
        <v>128</v>
      </c>
      <c r="B74" t="s">
        <v>234</v>
      </c>
      <c r="C74">
        <v>-1</v>
      </c>
      <c r="D74" t="s">
        <v>130</v>
      </c>
      <c r="E74" t="s">
        <v>235</v>
      </c>
      <c r="G74" t="s">
        <v>142</v>
      </c>
      <c r="H74" t="s">
        <v>236</v>
      </c>
      <c r="I74">
        <f>INT(Estee_Lauder_France[[#This Row],[price]])</f>
        <v>0</v>
      </c>
      <c r="J74">
        <f>INT(Estee_Lauder_France[[#This Row],[price per ml]])</f>
        <v>1</v>
      </c>
    </row>
    <row r="75" spans="1:10" x14ac:dyDescent="0.35">
      <c r="A75" t="s">
        <v>133</v>
      </c>
      <c r="B75" t="s">
        <v>290</v>
      </c>
      <c r="C75">
        <v>0</v>
      </c>
      <c r="D75" t="s">
        <v>130</v>
      </c>
      <c r="E75" t="s">
        <v>291</v>
      </c>
      <c r="G75" t="s">
        <v>142</v>
      </c>
      <c r="H75" t="s">
        <v>292</v>
      </c>
      <c r="I75">
        <f>INT(Estee_Lauder_France[[#This Row],[price]])</f>
        <v>0</v>
      </c>
      <c r="J75">
        <f>INT(Estee_Lauder_France[[#This Row],[price per ml]])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D831-B008-4BBA-B1A1-0E6DD17043AA}">
  <dimension ref="C3:N80"/>
  <sheetViews>
    <sheetView showGridLines="0" workbookViewId="0">
      <selection activeCell="O12" sqref="O12"/>
    </sheetView>
  </sheetViews>
  <sheetFormatPr defaultRowHeight="14.5" x14ac:dyDescent="0.35"/>
  <cols>
    <col min="1" max="2" width="8.7265625" style="6"/>
    <col min="3" max="3" width="63.453125" style="6" customWidth="1"/>
    <col min="4" max="6" width="8.7265625" style="6"/>
    <col min="7" max="7" width="14.36328125" style="6" customWidth="1"/>
    <col min="8" max="8" width="8.7265625" style="6"/>
    <col min="9" max="9" width="28.54296875" style="6" customWidth="1"/>
    <col min="10" max="10" width="1.7265625" style="6" customWidth="1"/>
    <col min="11" max="11" width="8.7265625" style="6"/>
    <col min="12" max="12" width="14.36328125" style="6" customWidth="1"/>
    <col min="13" max="13" width="8.7265625" style="6"/>
    <col min="14" max="14" width="25" style="6" customWidth="1"/>
    <col min="15" max="16384" width="8.7265625" style="6"/>
  </cols>
  <sheetData>
    <row r="3" spans="3:14" ht="14.5" customHeight="1" x14ac:dyDescent="0.35">
      <c r="C3" s="21" t="s">
        <v>360</v>
      </c>
      <c r="D3" s="21"/>
      <c r="F3" s="21" t="s">
        <v>361</v>
      </c>
      <c r="G3" s="21"/>
      <c r="H3" s="21"/>
      <c r="I3" s="21"/>
      <c r="K3" s="21" t="s">
        <v>363</v>
      </c>
      <c r="L3" s="21"/>
      <c r="M3" s="21"/>
      <c r="N3" s="21"/>
    </row>
    <row r="4" spans="3:14" ht="14.5" customHeight="1" x14ac:dyDescent="0.35">
      <c r="C4" s="21"/>
      <c r="D4" s="21"/>
      <c r="F4" s="21"/>
      <c r="G4" s="21"/>
      <c r="H4" s="21"/>
      <c r="I4" s="21"/>
      <c r="K4" s="21"/>
      <c r="L4" s="21"/>
      <c r="M4" s="21"/>
      <c r="N4" s="21"/>
    </row>
    <row r="5" spans="3:14" s="8" customFormat="1" ht="4" customHeight="1" x14ac:dyDescent="0.55000000000000004">
      <c r="C5" s="7"/>
      <c r="D5" s="7"/>
    </row>
    <row r="6" spans="3:14" ht="26.5" customHeight="1" x14ac:dyDescent="0.55000000000000004">
      <c r="C6" s="9" t="s">
        <v>358</v>
      </c>
      <c r="D6" s="10" t="s">
        <v>362</v>
      </c>
      <c r="F6" s="16"/>
      <c r="G6" s="17"/>
      <c r="H6" s="19">
        <f>AVERAGE(Estee_Lauder_France[Price_Clean])</f>
        <v>111.44594594594595</v>
      </c>
      <c r="I6" s="18"/>
      <c r="K6" s="16"/>
      <c r="L6" s="17"/>
      <c r="M6" s="19">
        <f>AVERAGE(Estee_Lauder_France[PricePerMLClean])</f>
        <v>2.3918918918918921</v>
      </c>
      <c r="N6" s="18"/>
    </row>
    <row r="7" spans="3:14" ht="14.5" customHeight="1" x14ac:dyDescent="0.35">
      <c r="C7" s="11" t="str" cm="1">
        <f t="array" ref="C7:C80">_xlfn.UNIQUE(Estee_Lauder_France[Description])</f>
        <v>AERIN Tuberose Le Jour Spray parfumé</v>
      </c>
      <c r="D7" s="12">
        <f>SUMIFS(Estee_Lauder_France[Price_Clean], Estee_Lauder_France[Description], C7)</f>
        <v>271</v>
      </c>
    </row>
    <row r="8" spans="3:14" ht="14.5" customHeight="1" x14ac:dyDescent="0.35">
      <c r="C8" s="13" t="str">
        <v>AERIN Ambrette de Noir Spray parfumé</v>
      </c>
      <c r="D8" s="12">
        <f>SUMIFS(Estee_Lauder_France[Price_Clean], Estee_Lauder_France[Description], C8)</f>
        <v>271</v>
      </c>
    </row>
    <row r="9" spans="3:14" ht="14.5" customHeight="1" x14ac:dyDescent="0.35">
      <c r="C9" s="13" t="str">
        <v>AERIN Limone di Sicilia Spray parfumé</v>
      </c>
      <c r="D9" s="12">
        <f>SUMIFS(Estee_Lauder_France[Price_Clean], Estee_Lauder_France[Description], C9)</f>
        <v>271</v>
      </c>
    </row>
    <row r="10" spans="3:14" x14ac:dyDescent="0.35">
      <c r="C10" s="13" t="str">
        <v>AERIN Rose de Grasse Eau de parfum Spray</v>
      </c>
      <c r="D10" s="12">
        <f>SUMIFS(Estee_Lauder_France[Price_Clean], Estee_Lauder_France[Description], C10)</f>
        <v>271</v>
      </c>
    </row>
    <row r="11" spans="3:14" x14ac:dyDescent="0.35">
      <c r="C11" s="13" t="str">
        <v>AERIN Tuberose Le Soir Eau de parfum Spray</v>
      </c>
      <c r="D11" s="12">
        <f>SUMIFS(Estee_Lauder_France[Price_Clean], Estee_Lauder_France[Description], C11)</f>
        <v>271</v>
      </c>
    </row>
    <row r="12" spans="3:14" x14ac:dyDescent="0.35">
      <c r="C12" s="13" t="str">
        <v>AERIN Rose Cocoa Spray parfumé</v>
      </c>
      <c r="D12" s="12">
        <f>SUMIFS(Estee_Lauder_France[Price_Clean], Estee_Lauder_France[Description], C12)</f>
        <v>268</v>
      </c>
    </row>
    <row r="13" spans="3:14" x14ac:dyDescent="0.35">
      <c r="C13" s="13" t="str">
        <v>AERIN Ikat Jasmine Eau de Parfum Spray</v>
      </c>
      <c r="D13" s="12">
        <f>SUMIFS(Estee_Lauder_France[Price_Clean], Estee_Lauder_France[Description], C13)</f>
        <v>233</v>
      </c>
    </row>
    <row r="14" spans="3:14" x14ac:dyDescent="0.35">
      <c r="C14" s="13" t="str">
        <v>AERIN Rose de Grasse Joyful Bloom Eau de Parfum Spray</v>
      </c>
      <c r="D14" s="12">
        <f>SUMIFS(Estee_Lauder_France[Price_Clean], Estee_Lauder_France[Description], C14)</f>
        <v>220</v>
      </c>
    </row>
    <row r="15" spans="3:14" x14ac:dyDescent="0.35">
      <c r="C15" s="13" t="str">
        <v>AERIN Rose de Grasse Parfum Édition Limitée</v>
      </c>
      <c r="D15" s="12">
        <f>SUMIFS(Estee_Lauder_France[Price_Clean], Estee_Lauder_France[Description], C15)</f>
        <v>210</v>
      </c>
    </row>
    <row r="16" spans="3:14" x14ac:dyDescent="0.35">
      <c r="C16" s="13" t="str">
        <v>Infinite Sky Eau de Parfum Spray Rechargeable</v>
      </c>
      <c r="D16" s="12">
        <f>SUMIFS(Estee_Lauder_France[Price_Clean], Estee_Lauder_France[Description], C16)</f>
        <v>196</v>
      </c>
    </row>
    <row r="17" spans="3:4" x14ac:dyDescent="0.35">
      <c r="C17" s="13" t="str">
        <v>Estée Lauder Pleasures Eau de Parfum Spray</v>
      </c>
      <c r="D17" s="12">
        <f>SUMIFS(Estee_Lauder_France[Price_Clean], Estee_Lauder_France[Description], C17)</f>
        <v>157</v>
      </c>
    </row>
    <row r="18" spans="3:4" x14ac:dyDescent="0.35">
      <c r="C18" s="13" t="str">
        <v>Paradise Moon Eau de Parfum Spray Rechargeable</v>
      </c>
      <c r="D18" s="12">
        <f>SUMIFS(Estee_Lauder_France[Price_Clean], Estee_Lauder_France[Description], C18)</f>
        <v>155</v>
      </c>
    </row>
    <row r="19" spans="3:4" x14ac:dyDescent="0.35">
      <c r="C19" s="13" t="str">
        <v>Radiant Mirage Eau de Parfum Spray Rechargeable</v>
      </c>
      <c r="D19" s="12">
        <f>SUMIFS(Estee_Lauder_France[Price_Clean], Estee_Lauder_France[Description], C19)</f>
        <v>155</v>
      </c>
    </row>
    <row r="20" spans="3:4" x14ac:dyDescent="0.35">
      <c r="C20" s="13" t="str">
        <v>Knowing Eau de Parfum Spray</v>
      </c>
      <c r="D20" s="12">
        <f>SUMIFS(Estee_Lauder_France[Price_Clean], Estee_Lauder_France[Description], C20)</f>
        <v>153</v>
      </c>
    </row>
    <row r="21" spans="3:4" x14ac:dyDescent="0.35">
      <c r="C21" s="13" t="str">
        <v>Estée Lauder x Ladurée Coffret Parfum Pleasures Savor The Moment</v>
      </c>
      <c r="D21" s="12">
        <f>SUMIFS(Estee_Lauder_France[Price_Clean], Estee_Lauder_France[Description], C21)</f>
        <v>153</v>
      </c>
    </row>
    <row r="22" spans="3:4" x14ac:dyDescent="0.35">
      <c r="C22" s="13" t="str">
        <v>AERIN Fleur de Peony Eau de Parfum Spray</v>
      </c>
      <c r="D22" s="12">
        <f>SUMIFS(Estee_Lauder_France[Price_Clean], Estee_Lauder_France[Description], C22)</f>
        <v>152</v>
      </c>
    </row>
    <row r="23" spans="3:4" x14ac:dyDescent="0.35">
      <c r="C23" s="13" t="str">
        <v>AERIN Lilac Path Eau de Parfum Spray</v>
      </c>
      <c r="D23" s="12">
        <f>SUMIFS(Estee_Lauder_France[Price_Clean], Estee_Lauder_France[Description], C23)</f>
        <v>152</v>
      </c>
    </row>
    <row r="24" spans="3:4" x14ac:dyDescent="0.35">
      <c r="C24" s="13" t="str">
        <v>AERIN Cedar Violet Eau de Parfum Spray</v>
      </c>
      <c r="D24" s="12">
        <f>SUMIFS(Estee_Lauder_France[Price_Clean], Estee_Lauder_France[Description], C24)</f>
        <v>152</v>
      </c>
    </row>
    <row r="25" spans="3:4" x14ac:dyDescent="0.35">
      <c r="C25" s="13" t="str">
        <v>AERIN Tuberose Gardenia Eau de Parfum Spray</v>
      </c>
      <c r="D25" s="12">
        <f>SUMIFS(Estee_Lauder_France[Price_Clean], Estee_Lauder_France[Description], C25)</f>
        <v>152</v>
      </c>
    </row>
    <row r="26" spans="3:4" x14ac:dyDescent="0.35">
      <c r="C26" s="13" t="str">
        <v>AERIN Mediterranean Honeysuckle Eau de Parfum Spray</v>
      </c>
      <c r="D26" s="12">
        <f>SUMIFS(Estee_Lauder_France[Price_Clean], Estee_Lauder_France[Description], C26)</f>
        <v>152</v>
      </c>
    </row>
    <row r="27" spans="3:4" x14ac:dyDescent="0.35">
      <c r="C27" s="13" t="str">
        <v>AERIN Hibiscus Palm Eau de Parfum</v>
      </c>
      <c r="D27" s="12">
        <f>SUMIFS(Estee_Lauder_France[Price_Clean], Estee_Lauder_France[Description], C27)</f>
        <v>152</v>
      </c>
    </row>
    <row r="28" spans="3:4" x14ac:dyDescent="0.35">
      <c r="C28" s="13" t="str">
        <v>AERIN Wild Geranium Eau de Parfum</v>
      </c>
      <c r="D28" s="12">
        <f>SUMIFS(Estee_Lauder_France[Price_Clean], Estee_Lauder_France[Description], C28)</f>
        <v>152</v>
      </c>
    </row>
    <row r="29" spans="3:4" x14ac:dyDescent="0.35">
      <c r="C29" s="13" t="str">
        <v>AERIN Mediterranean Honeysuckle Figue Eau de Parfum Spray</v>
      </c>
      <c r="D29" s="12">
        <f>SUMIFS(Estee_Lauder_France[Price_Clean], Estee_Lauder_France[Description], C29)</f>
        <v>144</v>
      </c>
    </row>
    <row r="30" spans="3:4" x14ac:dyDescent="0.35">
      <c r="C30" s="13" t="str">
        <v>White Linen Eau de Parfum Spray</v>
      </c>
      <c r="D30" s="12">
        <f>SUMIFS(Estee_Lauder_France[Price_Clean], Estee_Lauder_France[Description], C30)</f>
        <v>122</v>
      </c>
    </row>
    <row r="31" spans="3:4" x14ac:dyDescent="0.35">
      <c r="C31" s="13" t="str">
        <v>Sensuous Eau de Parfum Spray</v>
      </c>
      <c r="D31" s="12">
        <f>SUMIFS(Estee_Lauder_France[Price_Clean], Estee_Lauder_France[Description], C31)</f>
        <v>119</v>
      </c>
    </row>
    <row r="32" spans="3:4" x14ac:dyDescent="0.35">
      <c r="C32" s="13" t="str">
        <v>Estée Pure Fragrance Spray</v>
      </c>
      <c r="D32" s="12">
        <f>SUMIFS(Estee_Lauder_France[Price_Clean], Estee_Lauder_France[Description], C32)</f>
        <v>119</v>
      </c>
    </row>
    <row r="33" spans="3:4" x14ac:dyDescent="0.35">
      <c r="C33" s="13" t="str">
        <v>Blushing Sands Eau de Parfum Spray Rechargeable</v>
      </c>
      <c r="D33" s="12">
        <f>SUMIFS(Estee_Lauder_France[Price_Clean], Estee_Lauder_France[Description], C33)</f>
        <v>119</v>
      </c>
    </row>
    <row r="34" spans="3:4" x14ac:dyDescent="0.35">
      <c r="C34" s="13" t="str">
        <v>Desert Eden Eau de Parfum Spray Rechargeable</v>
      </c>
      <c r="D34" s="12">
        <f>SUMIFS(Estee_Lauder_France[Price_Clean], Estee_Lauder_France[Description], C34)</f>
        <v>119</v>
      </c>
    </row>
    <row r="35" spans="3:4" x14ac:dyDescent="0.35">
      <c r="C35" s="13" t="str">
        <v>Tender Light Eau de Parfum Spray Rechargeable</v>
      </c>
      <c r="D35" s="12">
        <f>SUMIFS(Estee_Lauder_France[Price_Clean], Estee_Lauder_France[Description], C35)</f>
        <v>119</v>
      </c>
    </row>
    <row r="36" spans="3:4" x14ac:dyDescent="0.35">
      <c r="C36" s="13" t="str">
        <v>Private Collection Vaporisateur Eau de Private Collection Estée Lauder</v>
      </c>
      <c r="D36" s="12">
        <f>SUMIFS(Estee_Lauder_France[Price_Clean], Estee_Lauder_France[Description], C36)</f>
        <v>119</v>
      </c>
    </row>
    <row r="37" spans="3:4" x14ac:dyDescent="0.35">
      <c r="C37" s="13" t="str">
        <v>Cinnabar Eau de Parfum Spray</v>
      </c>
      <c r="D37" s="12">
        <f>SUMIFS(Estee_Lauder_France[Price_Clean], Estee_Lauder_France[Description], C37)</f>
        <v>119</v>
      </c>
    </row>
    <row r="38" spans="3:4" x14ac:dyDescent="0.35">
      <c r="C38" s="13" t="str">
        <v>Azurée Eau de Parfum Spray</v>
      </c>
      <c r="D38" s="12">
        <f>SUMIFS(Estee_Lauder_France[Price_Clean], Estee_Lauder_France[Description], C38)</f>
        <v>119</v>
      </c>
    </row>
    <row r="39" spans="3:4" x14ac:dyDescent="0.35">
      <c r="C39" s="13" t="str">
        <v>Dream Dusk Eau de Parfum Spray Rechargeable</v>
      </c>
      <c r="D39" s="12">
        <f>SUMIFS(Estee_Lauder_France[Price_Clean], Estee_Lauder_France[Description], C39)</f>
        <v>119</v>
      </c>
    </row>
    <row r="40" spans="3:4" x14ac:dyDescent="0.35">
      <c r="C40" s="13" t="str">
        <v>Modern Muse Eau de Parfum Rollerball</v>
      </c>
      <c r="D40" s="12">
        <f>SUMIFS(Estee_Lauder_France[Price_Clean], Estee_Lauder_France[Description], C40)</f>
        <v>119</v>
      </c>
    </row>
    <row r="41" spans="3:4" x14ac:dyDescent="0.35">
      <c r="C41" s="13" t="str">
        <v>Youth-Dew Eau de Parfum Spray</v>
      </c>
      <c r="D41" s="12">
        <f>SUMIFS(Estee_Lauder_France[Price_Clean], Estee_Lauder_France[Description], C41)</f>
        <v>117</v>
      </c>
    </row>
    <row r="42" spans="3:4" x14ac:dyDescent="0.35">
      <c r="C42" s="13" t="str">
        <v>AERIN Rose de Grasse Pour Filles Eau de toilette</v>
      </c>
      <c r="D42" s="12">
        <f>SUMIFS(Estee_Lauder_France[Price_Clean], Estee_Lauder_France[Description], C42)</f>
        <v>106</v>
      </c>
    </row>
    <row r="43" spans="3:4" x14ac:dyDescent="0.35">
      <c r="C43" s="13" t="str">
        <v>Bronze Goddess Nuit Bronze Goddess Nuit</v>
      </c>
      <c r="D43" s="12">
        <f>SUMIFS(Estee_Lauder_France[Price_Clean], Estee_Lauder_France[Description], C43)</f>
        <v>100</v>
      </c>
    </row>
    <row r="44" spans="3:4" x14ac:dyDescent="0.35">
      <c r="C44" s="13" t="str">
        <v>Bronze Goddess Eau Fraîche Eau de toilette</v>
      </c>
      <c r="D44" s="12">
        <f>SUMIFS(Estee_Lauder_France[Price_Clean], Estee_Lauder_France[Description], C44)</f>
        <v>98</v>
      </c>
    </row>
    <row r="45" spans="3:4" x14ac:dyDescent="0.35">
      <c r="C45" s="13" t="str">
        <v>Bronze Goddess Aegea Eau de Parfum Spray</v>
      </c>
      <c r="D45" s="12">
        <f>SUMIFS(Estee_Lauder_France[Price_Clean], Estee_Lauder_France[Description], C45)</f>
        <v>98</v>
      </c>
    </row>
    <row r="46" spans="3:4" x14ac:dyDescent="0.35">
      <c r="C46" s="13" t="str">
        <v>Bronze Goddess Flora Verde Eau de Parfum</v>
      </c>
      <c r="D46" s="12">
        <f>SUMIFS(Estee_Lauder_France[Price_Clean], Estee_Lauder_France[Description], C46)</f>
        <v>98</v>
      </c>
    </row>
    <row r="47" spans="3:4" x14ac:dyDescent="0.35">
      <c r="C47" s="13" t="str">
        <v>Re-Nutriv Crème Mains Lissante Confort Intense</v>
      </c>
      <c r="D47" s="12">
        <f>SUMIFS(Estee_Lauder_France[Price_Clean], Estee_Lauder_France[Description], C47)</f>
        <v>94</v>
      </c>
    </row>
    <row r="48" spans="3:4" x14ac:dyDescent="0.35">
      <c r="C48" s="13" t="str">
        <v>Lauder Pleasures For Men Cologne Spray</v>
      </c>
      <c r="D48" s="12">
        <f>SUMIFS(Estee_Lauder_France[Price_Clean], Estee_Lauder_France[Description], C48)</f>
        <v>92</v>
      </c>
    </row>
    <row r="49" spans="3:4" x14ac:dyDescent="0.35">
      <c r="C49" s="13" t="str">
        <v>Beautiful Eau de Parfum Rollerball</v>
      </c>
      <c r="D49" s="12">
        <f>SUMIFS(Estee_Lauder_France[Price_Clean], Estee_Lauder_France[Description], C49)</f>
        <v>89</v>
      </c>
    </row>
    <row r="50" spans="3:4" x14ac:dyDescent="0.35">
      <c r="C50" s="13" t="str">
        <v>Estée Lauder x Ladurée Coffret Parfum Beautiful Magnolia Dynamic Delights</v>
      </c>
      <c r="D50" s="12">
        <f>SUMIFS(Estee_Lauder_France[Price_Clean], Estee_Lauder_France[Description], C50)</f>
        <v>87</v>
      </c>
    </row>
    <row r="51" spans="3:4" x14ac:dyDescent="0.35">
      <c r="C51" s="13" t="str">
        <v>Beautiful Lait parfumé pour le corps</v>
      </c>
      <c r="D51" s="12">
        <f>SUMIFS(Estee_Lauder_France[Price_Clean], Estee_Lauder_France[Description], C51)</f>
        <v>84</v>
      </c>
    </row>
    <row r="52" spans="3:4" x14ac:dyDescent="0.35">
      <c r="C52" s="13" t="str">
        <v>Beautiful Magnolia Eau de Parfum Spray</v>
      </c>
      <c r="D52" s="12">
        <f>SUMIFS(Estee_Lauder_France[Price_Clean], Estee_Lauder_France[Description], C52)</f>
        <v>81</v>
      </c>
    </row>
    <row r="53" spans="3:4" x14ac:dyDescent="0.35">
      <c r="C53" s="13" t="str">
        <v>AERIN Amber Musk Patchouli Bougie parfumée</v>
      </c>
      <c r="D53" s="12">
        <f>SUMIFS(Estee_Lauder_France[Price_Clean], Estee_Lauder_France[Description], C53)</f>
        <v>80</v>
      </c>
    </row>
    <row r="54" spans="3:4" x14ac:dyDescent="0.35">
      <c r="C54" s="13" t="str">
        <v>Estée Lauder Pleasures Lait Parfumé pour le Corps</v>
      </c>
      <c r="D54" s="12">
        <f>SUMIFS(Estee_Lauder_France[Price_Clean], Estee_Lauder_France[Description], C54)</f>
        <v>79</v>
      </c>
    </row>
    <row r="55" spans="3:4" x14ac:dyDescent="0.35">
      <c r="C55" s="13" t="str">
        <v>Youth-Dew Crème parfumée pour le corps</v>
      </c>
      <c r="D55" s="12">
        <f>SUMIFS(Estee_Lauder_France[Price_Clean], Estee_Lauder_France[Description], C55)</f>
        <v>79</v>
      </c>
    </row>
    <row r="56" spans="3:4" x14ac:dyDescent="0.35">
      <c r="C56" s="13" t="str">
        <v>SpellBound Eau de Parfum Spray</v>
      </c>
      <c r="D56" s="12">
        <f>SUMIFS(Estee_Lauder_France[Price_Clean], Estee_Lauder_France[Description], C56)</f>
        <v>78</v>
      </c>
    </row>
    <row r="57" spans="3:4" x14ac:dyDescent="0.35">
      <c r="C57" s="13" t="str">
        <v>AERIN Mediterranean Honeysuckle Crème pour le corps</v>
      </c>
      <c r="D57" s="12">
        <f>SUMIFS(Estee_Lauder_France[Price_Clean], Estee_Lauder_France[Description], C57)</f>
        <v>78</v>
      </c>
    </row>
    <row r="58" spans="3:4" x14ac:dyDescent="0.35">
      <c r="C58" s="13" t="str">
        <v>AERIN Ikat Jasmine Crème pour le corps</v>
      </c>
      <c r="D58" s="12">
        <f>SUMIFS(Estee_Lauder_France[Price_Clean], Estee_Lauder_France[Description], C58)</f>
        <v>78</v>
      </c>
    </row>
    <row r="59" spans="3:4" x14ac:dyDescent="0.35">
      <c r="C59" s="13" t="str">
        <v>AERIN Wild Geranium Crème pour le corps</v>
      </c>
      <c r="D59" s="12">
        <f>SUMIFS(Estee_Lauder_France[Price_Clean], Estee_Lauder_France[Description], C59)</f>
        <v>78</v>
      </c>
    </row>
    <row r="60" spans="3:4" x14ac:dyDescent="0.35">
      <c r="C60" s="13" t="str">
        <v>Crème pour les mains ultra riche</v>
      </c>
      <c r="D60" s="12">
        <f>SUMIFS(Estee_Lauder_France[Price_Clean], Estee_Lauder_France[Description], C60)</f>
        <v>66</v>
      </c>
    </row>
    <row r="61" spans="3:4" x14ac:dyDescent="0.35">
      <c r="C61" s="13" t="str">
        <v>AERIN Mediterranean Honeysuckle Bougie parfumée</v>
      </c>
      <c r="D61" s="12">
        <f>SUMIFS(Estee_Lauder_France[Price_Clean], Estee_Lauder_France[Description], C61)</f>
        <v>65</v>
      </c>
    </row>
    <row r="62" spans="3:4" x14ac:dyDescent="0.35">
      <c r="C62" s="13" t="str">
        <v>AERIN Fleur de Peony Crème pour le corps</v>
      </c>
      <c r="D62" s="12">
        <f>SUMIFS(Estee_Lauder_France[Price_Clean], Estee_Lauder_France[Description], C62)</f>
        <v>62</v>
      </c>
    </row>
    <row r="63" spans="3:4" x14ac:dyDescent="0.35">
      <c r="C63" s="13" t="str">
        <v>Youth-Dew Lait Corps</v>
      </c>
      <c r="D63" s="12">
        <f>SUMIFS(Estee_Lauder_France[Price_Clean], Estee_Lauder_France[Description], C63)</f>
        <v>58</v>
      </c>
    </row>
    <row r="64" spans="3:4" x14ac:dyDescent="0.35">
      <c r="C64" s="13" t="str">
        <v>Youth-Dew Huile de bain</v>
      </c>
      <c r="D64" s="12">
        <f>SUMIFS(Estee_Lauder_France[Price_Clean], Estee_Lauder_France[Description], C64)</f>
        <v>56</v>
      </c>
    </row>
    <row r="65" spans="3:4" x14ac:dyDescent="0.35">
      <c r="C65" s="13" t="str">
        <v>Youth-Dew Déodorant Anti-Perspirante à Bille</v>
      </c>
      <c r="D65" s="12">
        <f>SUMIFS(Estee_Lauder_France[Price_Clean], Estee_Lauder_France[Description], C65)</f>
        <v>41</v>
      </c>
    </row>
    <row r="66" spans="3:4" x14ac:dyDescent="0.35">
      <c r="C66" s="13" t="str">
        <v>AERIN Amber Musk Eau de Parfum Spray</v>
      </c>
      <c r="D66" s="12">
        <f>SUMIFS(Estee_Lauder_France[Price_Clean], Estee_Lauder_France[Description], C66)</f>
        <v>40</v>
      </c>
    </row>
    <row r="67" spans="3:4" x14ac:dyDescent="0.35">
      <c r="C67" s="13" t="str">
        <v>Youth-Dew Boîte de poudre libre</v>
      </c>
      <c r="D67" s="12">
        <f>SUMIFS(Estee_Lauder_France[Price_Clean], Estee_Lauder_France[Description], C67)</f>
        <v>40</v>
      </c>
    </row>
    <row r="68" spans="3:4" x14ac:dyDescent="0.35">
      <c r="C68" s="13" t="str">
        <v>Tender Light Eau de Parfum Spray</v>
      </c>
      <c r="D68" s="12">
        <f>SUMIFS(Estee_Lauder_France[Price_Clean], Estee_Lauder_France[Description], C68)</f>
        <v>39</v>
      </c>
    </row>
    <row r="69" spans="3:4" x14ac:dyDescent="0.35">
      <c r="C69" s="13" t="str">
        <v>Dream Dusk Eau de Parfum Spray</v>
      </c>
      <c r="D69" s="12">
        <f>SUMIFS(Estee_Lauder_France[Price_Clean], Estee_Lauder_France[Description], C69)</f>
        <v>39</v>
      </c>
    </row>
    <row r="70" spans="3:4" x14ac:dyDescent="0.35">
      <c r="C70" s="13" t="str">
        <v>Private Collection Legacy Eau de Parfum Spray</v>
      </c>
      <c r="D70" s="12">
        <f>SUMIFS(Estee_Lauder_France[Price_Clean], Estee_Lauder_France[Description], C70)</f>
        <v>33</v>
      </c>
    </row>
    <row r="71" spans="3:4" x14ac:dyDescent="0.35">
      <c r="C71" s="13" t="str">
        <v>White Linen Legacy Eau de Parfum Spray</v>
      </c>
      <c r="D71" s="12">
        <f>SUMIFS(Estee_Lauder_France[Price_Clean], Estee_Lauder_France[Description], C71)</f>
        <v>33</v>
      </c>
    </row>
    <row r="72" spans="3:4" x14ac:dyDescent="0.35">
      <c r="C72" s="13" t="str">
        <v>Knowing Legacy Eau de Parfum Spray</v>
      </c>
      <c r="D72" s="12">
        <f>SUMIFS(Estee_Lauder_France[Price_Clean], Estee_Lauder_France[Description], C72)</f>
        <v>33</v>
      </c>
    </row>
    <row r="73" spans="3:4" x14ac:dyDescent="0.35">
      <c r="C73" s="13" t="str">
        <v>Azurée Legacy Eau de Parfum Spray</v>
      </c>
      <c r="D73" s="12">
        <f>SUMIFS(Estee_Lauder_France[Price_Clean], Estee_Lauder_France[Description], C73)</f>
        <v>33</v>
      </c>
    </row>
    <row r="74" spans="3:4" x14ac:dyDescent="0.35">
      <c r="C74" s="13" t="str">
        <v>Estée Legacy Eau de Parfum Spray</v>
      </c>
      <c r="D74" s="12">
        <f>SUMIFS(Estee_Lauder_France[Price_Clean], Estee_Lauder_France[Description], C74)</f>
        <v>33</v>
      </c>
    </row>
    <row r="75" spans="3:4" x14ac:dyDescent="0.35">
      <c r="C75" s="13" t="str">
        <v>Infinite Sky Eau de Parfum Spray</v>
      </c>
      <c r="D75" s="12">
        <f>SUMIFS(Estee_Lauder_France[Price_Clean], Estee_Lauder_France[Description], C75)</f>
        <v>27</v>
      </c>
    </row>
    <row r="76" spans="3:4" x14ac:dyDescent="0.35">
      <c r="C76" s="13" t="str">
        <v>Blushing Sands Eau de Parfum Spray</v>
      </c>
      <c r="D76" s="12">
        <f>SUMIFS(Estee_Lauder_France[Price_Clean], Estee_Lauder_France[Description], C76)</f>
        <v>27</v>
      </c>
    </row>
    <row r="77" spans="3:4" x14ac:dyDescent="0.35">
      <c r="C77" s="13" t="str">
        <v>Radiant Mirage Eau de Parfum Spray</v>
      </c>
      <c r="D77" s="12">
        <f>SUMIFS(Estee_Lauder_France[Price_Clean], Estee_Lauder_France[Description], C77)</f>
        <v>27</v>
      </c>
    </row>
    <row r="78" spans="3:4" x14ac:dyDescent="0.35">
      <c r="C78" s="13" t="str">
        <v>Beautiful Magnolia Crème pour les Mains Nourrissante</v>
      </c>
      <c r="D78" s="12">
        <f>SUMIFS(Estee_Lauder_France[Price_Clean], Estee_Lauder_France[Description], C78)</f>
        <v>26</v>
      </c>
    </row>
    <row r="79" spans="3:4" x14ac:dyDescent="0.35">
      <c r="C79" s="13" t="str">
        <v>Beautiful Belle Eau de Parfum Spray</v>
      </c>
      <c r="D79" s="12">
        <f>SUMIFS(Estee_Lauder_France[Price_Clean], Estee_Lauder_France[Description], C79)</f>
        <v>0</v>
      </c>
    </row>
    <row r="80" spans="3:4" x14ac:dyDescent="0.35">
      <c r="C80" s="14" t="str">
        <v>Beautiful Magnolia L’Eau Vaporisateur Eau de toilette</v>
      </c>
      <c r="D80" s="15">
        <f>SUMIFS(Estee_Lauder_France[Price_Clean], Estee_Lauder_France[Description], C80)</f>
        <v>0</v>
      </c>
    </row>
  </sheetData>
  <mergeCells count="3">
    <mergeCell ref="K3:N4"/>
    <mergeCell ref="C3:D4"/>
    <mergeCell ref="F3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FDFB2-F865-4780-BDB9-51A55F8046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sample SKU Data</vt:lpstr>
      <vt:lpstr>SKU Prep</vt:lpstr>
      <vt:lpstr>SKU Prep2 </vt:lpstr>
      <vt:lpstr>Estee Lauder France</vt:lpstr>
      <vt:lpstr>Summary .fr Perfumes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Ibicioglu, Levent [ibicioglul]</dc:creator>
  <cp:lastModifiedBy>Levent Ibicioglu</cp:lastModifiedBy>
  <dcterms:created xsi:type="dcterms:W3CDTF">2025-07-29T00:59:33Z</dcterms:created>
  <dcterms:modified xsi:type="dcterms:W3CDTF">2025-08-03T23:11:24Z</dcterms:modified>
</cp:coreProperties>
</file>